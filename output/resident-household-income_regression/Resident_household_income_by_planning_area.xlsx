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dary\OneDrive\Desktop\AY2627 S1\BT4015 Geospatial Analytics\Project\output\resident-household-income\"/>
    </mc:Choice>
  </mc:AlternateContent>
  <xr:revisionPtr revIDLastSave="0" documentId="13_ncr:1_{69DCECE9-A0FB-4134-908A-B26E42586B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come Distribution" sheetId="1" r:id="rId1"/>
    <sheet name="Sourc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2" i="1" l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</calcChain>
</file>

<file path=xl/sharedStrings.xml><?xml version="1.0" encoding="utf-8"?>
<sst xmlns="http://schemas.openxmlformats.org/spreadsheetml/2006/main" count="108" uniqueCount="76">
  <si>
    <t>Chart data: share of households within each planning area</t>
  </si>
  <si>
    <t>Planning Area</t>
  </si>
  <si>
    <t>No employed person</t>
  </si>
  <si>
    <t>Below $1,000</t>
  </si>
  <si>
    <t>$1,000 - $1,999</t>
  </si>
  <si>
    <t>$2,000 - $2,999</t>
  </si>
  <si>
    <t>$3,000 - $3,999</t>
  </si>
  <si>
    <t>$4,000 - $4,999</t>
  </si>
  <si>
    <t>$5,000 - $5,999</t>
  </si>
  <si>
    <t>$6,000 - $6,999</t>
  </si>
  <si>
    <t>$7,000 - $7,999</t>
  </si>
  <si>
    <t>$8,000 - $8,999</t>
  </si>
  <si>
    <t>$9,000 - $9,999</t>
  </si>
  <si>
    <t>$10,000 - $10,999</t>
  </si>
  <si>
    <t>$11,000 - $11,999</t>
  </si>
  <si>
    <t>$12,000 - $12,999</t>
  </si>
  <si>
    <t>$13,000 - $13,999</t>
  </si>
  <si>
    <t>$14,000 - $14,999</t>
  </si>
  <si>
    <t>$15,000 - $17,499</t>
  </si>
  <si>
    <t>$17,500 - $19,999</t>
  </si>
  <si>
    <t>$20,000 &amp; over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</si>
  <si>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</si>
  <si>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</si>
  <si>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</si>
  <si>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</si>
  <si>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</si>
  <si>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</si>
  <si>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</si>
  <si>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</si>
  <si>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</si>
  <si>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</si>
  <si>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</si>
  <si>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</si>
  <si>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</si>
  <si>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</si>
  <si>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</si>
  <si>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</si>
  <si>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</si>
  <si>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</si>
  <si>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</si>
  <si>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</si>
  <si>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</si>
  <si>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</si>
  <si>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</si>
  <si>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</si>
  <si>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</si>
  <si>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</si>
  <si>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</si>
  <si>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</si>
  <si>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</si>
  <si>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</si>
  <si>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Others</t>
  </si>
  <si>
    <t>Each planning area is normalized to 100% using the sum of its displayed income bands. The national Total row is excluded.</t>
  </si>
  <si>
    <t>Source: ResidentHouseholdsIncomebyPlanningArea.csv</t>
  </si>
  <si>
    <t>Household counts by planning area and monthly household income band</t>
  </si>
  <si>
    <t>Number</t>
  </si>
  <si>
    <t>Total</t>
  </si>
  <si>
    <t>NoEmployedPerson</t>
  </si>
  <si>
    <t>Below_1_000</t>
  </si>
  <si>
    <t>1_000_1_999</t>
  </si>
  <si>
    <t>2_000_2_999</t>
  </si>
  <si>
    <t>3_000_3_999</t>
  </si>
  <si>
    <t>4_000_4_999</t>
  </si>
  <si>
    <t>5_000_5_999</t>
  </si>
  <si>
    <t>6_000_6_999</t>
  </si>
  <si>
    <t>7_000_7_999</t>
  </si>
  <si>
    <t>8_000_8_999</t>
  </si>
  <si>
    <t>9_000_9_999</t>
  </si>
  <si>
    <t>10_000_10_999</t>
  </si>
  <si>
    <t>11_000_11_999</t>
  </si>
  <si>
    <t>12_000_12_999</t>
  </si>
  <si>
    <t>13_000_13_999</t>
  </si>
  <si>
    <t>14_000_14_999</t>
  </si>
  <si>
    <t>15_000_17_499</t>
  </si>
  <si>
    <t>17_500_19_999</t>
  </si>
  <si>
    <t>20_000andOver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</si>
</sst>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sz val="10"/>
      <color rgb="FF333333"/>
      <name val="Arial"/>
    </font>
    <font>
      <b/>
      <sz val="12"/>
      <color rgb="FF2F5597"/>
      <name val="Arial"/>
    </font>
    <font>
      <i/>
      <sz val="10"/>
      <color rgb="FF666666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6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" fillId="0" borderId="0" xfId="0" applyNumberFormat="1" applyFont="1"/>
    <xf numFmtId="0" fontId="1" fillId="0" borderId="4" xfId="0" applyFont="1" applyBorder="1"/>
    <xf numFmtId="3" fontId="1" fillId="0" borderId="4" xfId="0" applyNumberFormat="1" applyFont="1" applyBorder="1"/>
    <xf numFmtId="0" fontId="0" fillId="0" borderId="5" xfId="0" applyBorder="1"/>
    <xf numFmtId="164" fontId="1" fillId="0" borderId="0" xfId="0" applyNumberFormat="1" applyFont="1"/>
    <xf numFmtId="164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SG" sz="1400">
                <a:latin typeface="Arial"/>
                <a:ea typeface="Arial"/>
                <a:cs typeface="Arial"/>
              </a:rPr>
              <a:t>Monthly Household Income by Planning Area of Residence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No employed person</c:v>
          </c:tx>
          <c:spPr>
            <a:solidFill>
              <a:srgbClr val="4472C4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Distribution'!$B$42:$B$72</c:f>
              <c:numCache>
                <c:formatCode>0.0%</c:formatCode>
                <c:ptCount val="31"/>
                <c:pt idx="0">
                  <c:v>0.1902255139659238</c:v>
                </c:pt>
                <c:pt idx="1">
                  <c:v>0.17240036083319665</c:v>
                </c:pt>
                <c:pt idx="2">
                  <c:v>0.14983868228901343</c:v>
                </c:pt>
                <c:pt idx="3">
                  <c:v>0.1101902499217268</c:v>
                </c:pt>
                <c:pt idx="4">
                  <c:v>0.2084457026080839</c:v>
                </c:pt>
                <c:pt idx="5">
                  <c:v>0.10070902457492945</c:v>
                </c:pt>
                <c:pt idx="6">
                  <c:v>0.15625888757973427</c:v>
                </c:pt>
                <c:pt idx="7">
                  <c:v>7.6917773986177898E-2</c:v>
                </c:pt>
                <c:pt idx="8">
                  <c:v>0.17823137348250417</c:v>
                </c:pt>
                <c:pt idx="9">
                  <c:v>0.11312217194570136</c:v>
                </c:pt>
                <c:pt idx="10">
                  <c:v>0.16622678745512043</c:v>
                </c:pt>
                <c:pt idx="11">
                  <c:v>0.11320428160613484</c:v>
                </c:pt>
                <c:pt idx="12">
                  <c:v>0.15639584022342262</c:v>
                </c:pt>
                <c:pt idx="13">
                  <c:v>9.6196948020982359E-2</c:v>
                </c:pt>
                <c:pt idx="14">
                  <c:v>0.20652413489089708</c:v>
                </c:pt>
                <c:pt idx="15">
                  <c:v>0.20808435852372584</c:v>
                </c:pt>
                <c:pt idx="16">
                  <c:v>0.15577312257288192</c:v>
                </c:pt>
                <c:pt idx="17">
                  <c:v>0.27241122423640429</c:v>
                </c:pt>
                <c:pt idx="18">
                  <c:v>8.263577311993571E-2</c:v>
                </c:pt>
                <c:pt idx="19">
                  <c:v>6.2868334371939824E-2</c:v>
                </c:pt>
                <c:pt idx="20">
                  <c:v>0.20985588600421007</c:v>
                </c:pt>
                <c:pt idx="21">
                  <c:v>0.14432989690721648</c:v>
                </c:pt>
                <c:pt idx="22">
                  <c:v>8.2173544717414976E-2</c:v>
                </c:pt>
                <c:pt idx="23">
                  <c:v>7.0815748031496067E-2</c:v>
                </c:pt>
                <c:pt idx="24">
                  <c:v>0.13963136060494669</c:v>
                </c:pt>
                <c:pt idx="25">
                  <c:v>0.11509458765042603</c:v>
                </c:pt>
                <c:pt idx="26">
                  <c:v>0.15246975806451613</c:v>
                </c:pt>
                <c:pt idx="27">
                  <c:v>0.21363966039506804</c:v>
                </c:pt>
                <c:pt idx="28">
                  <c:v>9.0474378488077115E-2</c:v>
                </c:pt>
                <c:pt idx="29">
                  <c:v>0.1153519707177338</c:v>
                </c:pt>
                <c:pt idx="30">
                  <c:v>0.13879352623835214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BDA-8924-6DAC79D83CD8}"/>
            </c:ext>
          </c:extLst>
        </c:ser>
        <c:ser>
          <c:idx val="1"/>
          <c:order val="1"/>
          <c:tx>
            <c:v>Below $1,000</c:v>
          </c:tx>
          <c:spPr>
            <a:solidFill>
              <a:srgbClr val="ED7D31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Distribution'!$C$42:$C$72</c:f>
              <c:numCache>
                <c:formatCode>0.0%</c:formatCode>
                <c:ptCount val="31"/>
                <c:pt idx="0">
                  <c:v>2.5955694310671226E-2</c:v>
                </c:pt>
                <c:pt idx="1">
                  <c:v>2.2582827620141053E-2</c:v>
                </c:pt>
                <c:pt idx="2">
                  <c:v>1.7252504669723213E-2</c:v>
                </c:pt>
                <c:pt idx="3">
                  <c:v>1.5599388548170249E-2</c:v>
                </c:pt>
                <c:pt idx="4">
                  <c:v>3.1809578049883581E-2</c:v>
                </c:pt>
                <c:pt idx="5">
                  <c:v>1.505243110529818E-2</c:v>
                </c:pt>
                <c:pt idx="6">
                  <c:v>1.1944907162881404E-2</c:v>
                </c:pt>
                <c:pt idx="7">
                  <c:v>1.5390448615204316E-2</c:v>
                </c:pt>
                <c:pt idx="8">
                  <c:v>2.3922875505831945E-2</c:v>
                </c:pt>
                <c:pt idx="9">
                  <c:v>1.3574660633484163E-2</c:v>
                </c:pt>
                <c:pt idx="10">
                  <c:v>2.4490572318520105E-2</c:v>
                </c:pt>
                <c:pt idx="11">
                  <c:v>1.9637341569922251E-2</c:v>
                </c:pt>
                <c:pt idx="12">
                  <c:v>2.0210928600301326E-2</c:v>
                </c:pt>
                <c:pt idx="13">
                  <c:v>1.6678588459704338E-2</c:v>
                </c:pt>
                <c:pt idx="14">
                  <c:v>3.3183944358729456E-2</c:v>
                </c:pt>
                <c:pt idx="15">
                  <c:v>1.9859402460456942E-2</c:v>
                </c:pt>
                <c:pt idx="16">
                  <c:v>2.1714160695728273E-2</c:v>
                </c:pt>
                <c:pt idx="17">
                  <c:v>4.8795629500869131E-2</c:v>
                </c:pt>
                <c:pt idx="18">
                  <c:v>1.3102971048460903E-2</c:v>
                </c:pt>
                <c:pt idx="19">
                  <c:v>1.5614706667853645E-2</c:v>
                </c:pt>
                <c:pt idx="20">
                  <c:v>2.0888433097641282E-2</c:v>
                </c:pt>
                <c:pt idx="21">
                  <c:v>6.7890369625345738E-3</c:v>
                </c:pt>
                <c:pt idx="22">
                  <c:v>1.7729638145951833E-2</c:v>
                </c:pt>
                <c:pt idx="23">
                  <c:v>1.6075590551181101E-2</c:v>
                </c:pt>
                <c:pt idx="24">
                  <c:v>1.3023158115843092E-2</c:v>
                </c:pt>
                <c:pt idx="25">
                  <c:v>1.659914673932528E-2</c:v>
                </c:pt>
                <c:pt idx="26">
                  <c:v>8.946572580645162E-3</c:v>
                </c:pt>
                <c:pt idx="27">
                  <c:v>2.7646230641238962E-2</c:v>
                </c:pt>
                <c:pt idx="28">
                  <c:v>1.6400304414003045E-2</c:v>
                </c:pt>
                <c:pt idx="29">
                  <c:v>2.0569200572913903E-2</c:v>
                </c:pt>
                <c:pt idx="30">
                  <c:v>1.1361778649664868E-2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8-4BDA-8924-6DAC79D83CD8}"/>
            </c:ext>
          </c:extLst>
        </c:ser>
        <c:ser>
          <c:idx val="2"/>
          <c:order val="2"/>
          <c:tx>
            <c:v>$1,000 - $1,999</c:v>
          </c:tx>
          <c:spPr>
            <a:solidFill>
              <a:srgbClr val="A5A5A5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Distribution'!$D$42:$D$72</c:f>
              <c:numCache>
                <c:formatCode>0.0%</c:formatCode>
                <c:ptCount val="31"/>
                <c:pt idx="0">
                  <c:v>7.0211564648443983E-2</c:v>
                </c:pt>
                <c:pt idx="1">
                  <c:v>5.4104477611940295E-2</c:v>
                </c:pt>
                <c:pt idx="2">
                  <c:v>3.3384275768381731E-2</c:v>
                </c:pt>
                <c:pt idx="3">
                  <c:v>6.1292520765419821E-2</c:v>
                </c:pt>
                <c:pt idx="4">
                  <c:v>7.6768455082999718E-2</c:v>
                </c:pt>
                <c:pt idx="5">
                  <c:v>3.8181776462219777E-2</c:v>
                </c:pt>
                <c:pt idx="6">
                  <c:v>1.4788932677853167E-2</c:v>
                </c:pt>
                <c:pt idx="7">
                  <c:v>3.5589335263602362E-2</c:v>
                </c:pt>
                <c:pt idx="8">
                  <c:v>4.9273982385146395E-2</c:v>
                </c:pt>
                <c:pt idx="9">
                  <c:v>1.4221073044602456E-2</c:v>
                </c:pt>
                <c:pt idx="10">
                  <c:v>6.7194521720522149E-2</c:v>
                </c:pt>
                <c:pt idx="11">
                  <c:v>5.3147300031952283E-2</c:v>
                </c:pt>
                <c:pt idx="12">
                  <c:v>6.033880865762687E-2</c:v>
                </c:pt>
                <c:pt idx="13">
                  <c:v>5.3171196948020985E-2</c:v>
                </c:pt>
                <c:pt idx="14">
                  <c:v>7.6580216981363108E-2</c:v>
                </c:pt>
                <c:pt idx="15">
                  <c:v>4.0011716461628585E-2</c:v>
                </c:pt>
                <c:pt idx="16">
                  <c:v>4.3318930153694687E-2</c:v>
                </c:pt>
                <c:pt idx="17">
                  <c:v>0.1009436304941644</c:v>
                </c:pt>
                <c:pt idx="18">
                  <c:v>2.6741668340811178E-2</c:v>
                </c:pt>
                <c:pt idx="19">
                  <c:v>4.2677824267782424E-2</c:v>
                </c:pt>
                <c:pt idx="20">
                  <c:v>6.4716359907162513E-2</c:v>
                </c:pt>
                <c:pt idx="21">
                  <c:v>2.0115665074176513E-2</c:v>
                </c:pt>
                <c:pt idx="22">
                  <c:v>4.220622050102868E-2</c:v>
                </c:pt>
                <c:pt idx="23">
                  <c:v>3.9886614173228349E-2</c:v>
                </c:pt>
                <c:pt idx="24">
                  <c:v>3.7914194192091584E-2</c:v>
                </c:pt>
                <c:pt idx="25">
                  <c:v>4.7885371479104676E-2</c:v>
                </c:pt>
                <c:pt idx="26">
                  <c:v>1.0584677419354838E-2</c:v>
                </c:pt>
                <c:pt idx="27">
                  <c:v>6.3718588676991345E-2</c:v>
                </c:pt>
                <c:pt idx="28">
                  <c:v>4.9632166412988329E-2</c:v>
                </c:pt>
                <c:pt idx="29">
                  <c:v>5.9081746326454833E-2</c:v>
                </c:pt>
                <c:pt idx="30">
                  <c:v>3.9970573810691516E-2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08-4BDA-8924-6DAC79D83CD8}"/>
            </c:ext>
          </c:extLst>
        </c:ser>
        <c:ser>
          <c:idx val="3"/>
          <c:order val="3"/>
          <c:tx>
            <c:v>$2,000 - $2,999</c:v>
          </c:tx>
          <c:spPr>
            <a:solidFill>
              <a:srgbClr val="FFC000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Distribution'!$E$42:$E$72</c:f>
              <c:numCache>
                <c:formatCode>0.0%</c:formatCode>
                <c:ptCount val="31"/>
                <c:pt idx="0">
                  <c:v>5.906871699491846E-2</c:v>
                </c:pt>
                <c:pt idx="1">
                  <c:v>5.3509922912907987E-2</c:v>
                </c:pt>
                <c:pt idx="2">
                  <c:v>3.0905077262693158E-2</c:v>
                </c:pt>
                <c:pt idx="3">
                  <c:v>5.5362174705784847E-2</c:v>
                </c:pt>
                <c:pt idx="4">
                  <c:v>5.8024422519640198E-2</c:v>
                </c:pt>
                <c:pt idx="5">
                  <c:v>5.5322273467795599E-2</c:v>
                </c:pt>
                <c:pt idx="6">
                  <c:v>1.8486165847316459E-2</c:v>
                </c:pt>
                <c:pt idx="7">
                  <c:v>4.7843096703031558E-2</c:v>
                </c:pt>
                <c:pt idx="8">
                  <c:v>4.4870268983575337E-2</c:v>
                </c:pt>
                <c:pt idx="9">
                  <c:v>2.068519715578539E-2</c:v>
                </c:pt>
                <c:pt idx="10">
                  <c:v>6.7741398578120171E-2</c:v>
                </c:pt>
                <c:pt idx="11">
                  <c:v>5.9364682074768346E-2</c:v>
                </c:pt>
                <c:pt idx="12">
                  <c:v>4.8102010068717158E-2</c:v>
                </c:pt>
                <c:pt idx="13">
                  <c:v>4.8187887458273723E-2</c:v>
                </c:pt>
                <c:pt idx="14">
                  <c:v>5.8261700095510981E-2</c:v>
                </c:pt>
                <c:pt idx="15">
                  <c:v>3.7902753368482721E-2</c:v>
                </c:pt>
                <c:pt idx="16">
                  <c:v>4.5834928622217358E-2</c:v>
                </c:pt>
                <c:pt idx="17">
                  <c:v>6.257760119195431E-2</c:v>
                </c:pt>
                <c:pt idx="18">
                  <c:v>3.120605370655595E-2</c:v>
                </c:pt>
                <c:pt idx="19">
                  <c:v>4.3051722603044601E-2</c:v>
                </c:pt>
                <c:pt idx="20">
                  <c:v>4.6337777297997519E-2</c:v>
                </c:pt>
                <c:pt idx="21">
                  <c:v>1.8858436007040482E-2</c:v>
                </c:pt>
                <c:pt idx="22">
                  <c:v>5.1282827060389689E-2</c:v>
                </c:pt>
                <c:pt idx="23">
                  <c:v>4.48E-2</c:v>
                </c:pt>
                <c:pt idx="24">
                  <c:v>4.2771622118363703E-2</c:v>
                </c:pt>
                <c:pt idx="25">
                  <c:v>4.6690328517310198E-2</c:v>
                </c:pt>
                <c:pt idx="26">
                  <c:v>1.310483870967742E-2</c:v>
                </c:pt>
                <c:pt idx="27">
                  <c:v>5.023678484576987E-2</c:v>
                </c:pt>
                <c:pt idx="28">
                  <c:v>5.6697108066971078E-2</c:v>
                </c:pt>
                <c:pt idx="29">
                  <c:v>6.5142432762187688E-2</c:v>
                </c:pt>
                <c:pt idx="30">
                  <c:v>4.7081902893575285E-2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08-4BDA-8924-6DAC79D83CD8}"/>
            </c:ext>
          </c:extLst>
        </c:ser>
        <c:ser>
          <c:idx val="4"/>
          <c:order val="4"/>
          <c:tx>
            <c:v>$3,000 - $3,999</c:v>
          </c:tx>
          <c:spPr>
            <a:solidFill>
              <a:srgbClr val="5B9BD5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Distribution'!$F$42:$F$72</c:f>
              <c:numCache>
                <c:formatCode>0.0%</c:formatCode>
                <c:ptCount val="31"/>
                <c:pt idx="0">
                  <c:v>6.7006542894151255E-2</c:v>
                </c:pt>
                <c:pt idx="1">
                  <c:v>5.6533951123503359E-2</c:v>
                </c:pt>
                <c:pt idx="2">
                  <c:v>4.2519952453727292E-2</c:v>
                </c:pt>
                <c:pt idx="3">
                  <c:v>5.8198427169088532E-2</c:v>
                </c:pt>
                <c:pt idx="4">
                  <c:v>5.8007671820298499E-2</c:v>
                </c:pt>
                <c:pt idx="5">
                  <c:v>5.8787086115509049E-2</c:v>
                </c:pt>
                <c:pt idx="6">
                  <c:v>1.4179498638930647E-2</c:v>
                </c:pt>
                <c:pt idx="7">
                  <c:v>4.9290798476466231E-2</c:v>
                </c:pt>
                <c:pt idx="8">
                  <c:v>4.6060461794810763E-2</c:v>
                </c:pt>
                <c:pt idx="9">
                  <c:v>1.6160310277957338E-2</c:v>
                </c:pt>
                <c:pt idx="10">
                  <c:v>6.3509047245405043E-2</c:v>
                </c:pt>
                <c:pt idx="11">
                  <c:v>5.7327723932261154E-2</c:v>
                </c:pt>
                <c:pt idx="12">
                  <c:v>6.4050270091500383E-2</c:v>
                </c:pt>
                <c:pt idx="13">
                  <c:v>5.5484024797329522E-2</c:v>
                </c:pt>
                <c:pt idx="14">
                  <c:v>4.9984081502706147E-2</c:v>
                </c:pt>
                <c:pt idx="15">
                  <c:v>4.3409490333919158E-2</c:v>
                </c:pt>
                <c:pt idx="16">
                  <c:v>4.2936060821528198E-2</c:v>
                </c:pt>
                <c:pt idx="17">
                  <c:v>4.8671467593742239E-2</c:v>
                </c:pt>
                <c:pt idx="18">
                  <c:v>3.7969597535659275E-2</c:v>
                </c:pt>
                <c:pt idx="19">
                  <c:v>5.5105492744591825E-2</c:v>
                </c:pt>
                <c:pt idx="20">
                  <c:v>5.1924218707831815E-2</c:v>
                </c:pt>
                <c:pt idx="21">
                  <c:v>2.4390243902439025E-2</c:v>
                </c:pt>
                <c:pt idx="22">
                  <c:v>6.229577635241438E-2</c:v>
                </c:pt>
                <c:pt idx="23">
                  <c:v>5.0292913385826775E-2</c:v>
                </c:pt>
                <c:pt idx="24">
                  <c:v>3.8439321535472352E-2</c:v>
                </c:pt>
                <c:pt idx="25">
                  <c:v>5.510343096834331E-2</c:v>
                </c:pt>
                <c:pt idx="26">
                  <c:v>1.6633064516129031E-2</c:v>
                </c:pt>
                <c:pt idx="27">
                  <c:v>5.5740432612312811E-2</c:v>
                </c:pt>
                <c:pt idx="28">
                  <c:v>6.5322171486555045E-2</c:v>
                </c:pt>
                <c:pt idx="29">
                  <c:v>6.4134528672218985E-2</c:v>
                </c:pt>
                <c:pt idx="30">
                  <c:v>3.2532287068824585E-2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08-4BDA-8924-6DAC79D83CD8}"/>
            </c:ext>
          </c:extLst>
        </c:ser>
        <c:ser>
          <c:idx val="5"/>
          <c:order val="5"/>
          <c:tx>
            <c:v>$4,000 - $4,999</c:v>
          </c:tx>
          <c:spPr>
            <a:solidFill>
              <a:srgbClr val="70AD47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Distribution'!$G$42:$G$72</c:f>
              <c:numCache>
                <c:formatCode>0.0%</c:formatCode>
                <c:ptCount val="31"/>
                <c:pt idx="0">
                  <c:v>5.5714238267627621E-2</c:v>
                </c:pt>
                <c:pt idx="1">
                  <c:v>4.7892406101361328E-2</c:v>
                </c:pt>
                <c:pt idx="2">
                  <c:v>3.3384275768381731E-2</c:v>
                </c:pt>
                <c:pt idx="3">
                  <c:v>5.8272096064239276E-2</c:v>
                </c:pt>
                <c:pt idx="4">
                  <c:v>3.9179885760230487E-2</c:v>
                </c:pt>
                <c:pt idx="5">
                  <c:v>5.7272664693329665E-2</c:v>
                </c:pt>
                <c:pt idx="6">
                  <c:v>1.9583147117376996E-2</c:v>
                </c:pt>
                <c:pt idx="7">
                  <c:v>5.2858349275287389E-2</c:v>
                </c:pt>
                <c:pt idx="8">
                  <c:v>4.222208997857653E-2</c:v>
                </c:pt>
                <c:pt idx="9">
                  <c:v>3.0381383322559793E-2</c:v>
                </c:pt>
                <c:pt idx="10">
                  <c:v>5.6661197898090689E-2</c:v>
                </c:pt>
                <c:pt idx="11">
                  <c:v>5.3773032271807436E-2</c:v>
                </c:pt>
                <c:pt idx="12">
                  <c:v>6.0081578657259396E-2</c:v>
                </c:pt>
                <c:pt idx="13">
                  <c:v>6.2804005722460657E-2</c:v>
                </c:pt>
                <c:pt idx="14">
                  <c:v>4.7388141944015867E-2</c:v>
                </c:pt>
                <c:pt idx="15">
                  <c:v>3.4856473345049793E-2</c:v>
                </c:pt>
                <c:pt idx="16">
                  <c:v>3.9709019307553467E-2</c:v>
                </c:pt>
                <c:pt idx="17">
                  <c:v>3.4517010181276384E-2</c:v>
                </c:pt>
                <c:pt idx="18">
                  <c:v>3.9197303511239089E-2</c:v>
                </c:pt>
                <c:pt idx="19">
                  <c:v>5.4482328852488202E-2</c:v>
                </c:pt>
                <c:pt idx="20">
                  <c:v>4.5150321152911968E-2</c:v>
                </c:pt>
                <c:pt idx="21">
                  <c:v>1.4835302992205179E-2</c:v>
                </c:pt>
                <c:pt idx="22">
                  <c:v>5.9239985477429508E-2</c:v>
                </c:pt>
                <c:pt idx="23">
                  <c:v>5.4072440944881887E-2</c:v>
                </c:pt>
                <c:pt idx="24">
                  <c:v>3.7152759544189465E-2</c:v>
                </c:pt>
                <c:pt idx="25">
                  <c:v>5.3418420392213103E-2</c:v>
                </c:pt>
                <c:pt idx="26">
                  <c:v>1.6003024193548387E-2</c:v>
                </c:pt>
                <c:pt idx="27">
                  <c:v>5.3393916122701481E-2</c:v>
                </c:pt>
                <c:pt idx="28">
                  <c:v>6.3609842719431764E-2</c:v>
                </c:pt>
                <c:pt idx="29">
                  <c:v>6.5208742241790893E-2</c:v>
                </c:pt>
                <c:pt idx="30">
                  <c:v>3.5638384829164621E-2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08-4BDA-8924-6DAC79D83CD8}"/>
            </c:ext>
          </c:extLst>
        </c:ser>
        <c:ser>
          <c:idx val="6"/>
          <c:order val="6"/>
          <c:tx>
            <c:v>$5,000 - $5,999</c:v>
          </c:tx>
          <c:spPr>
            <a:solidFill>
              <a:srgbClr val="264478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Distribution'!$H$42:$H$72</c:f>
              <c:numCache>
                <c:formatCode>0.0%</c:formatCode>
                <c:ptCount val="31"/>
                <c:pt idx="0">
                  <c:v>5.2476003852668637E-2</c:v>
                </c:pt>
                <c:pt idx="1">
                  <c:v>5.1767262588158114E-2</c:v>
                </c:pt>
                <c:pt idx="2">
                  <c:v>4.1840719986415351E-2</c:v>
                </c:pt>
                <c:pt idx="3">
                  <c:v>5.934029504392508E-2</c:v>
                </c:pt>
                <c:pt idx="4">
                  <c:v>4.2563527027253391E-2</c:v>
                </c:pt>
                <c:pt idx="5">
                  <c:v>6.0255615979440583E-2</c:v>
                </c:pt>
                <c:pt idx="6">
                  <c:v>2.2427172632348759E-2</c:v>
                </c:pt>
                <c:pt idx="7">
                  <c:v>5.7322096410044293E-2</c:v>
                </c:pt>
                <c:pt idx="8">
                  <c:v>4.7399428707450605E-2</c:v>
                </c:pt>
                <c:pt idx="9">
                  <c:v>3.1027795733678087E-2</c:v>
                </c:pt>
                <c:pt idx="10">
                  <c:v>5.6161875549849014E-2</c:v>
                </c:pt>
                <c:pt idx="11">
                  <c:v>5.5104377462988602E-2</c:v>
                </c:pt>
                <c:pt idx="12">
                  <c:v>6.3829787234042548E-2</c:v>
                </c:pt>
                <c:pt idx="13">
                  <c:v>6.2863614687649019E-2</c:v>
                </c:pt>
                <c:pt idx="14">
                  <c:v>4.3077902676756548E-2</c:v>
                </c:pt>
                <c:pt idx="15">
                  <c:v>2.9876977152899824E-2</c:v>
                </c:pt>
                <c:pt idx="16">
                  <c:v>3.9435541213148829E-2</c:v>
                </c:pt>
                <c:pt idx="17">
                  <c:v>4.2339210330270674E-2</c:v>
                </c:pt>
                <c:pt idx="18">
                  <c:v>5.1786870242639345E-2</c:v>
                </c:pt>
                <c:pt idx="19">
                  <c:v>5.2951126146176447E-2</c:v>
                </c:pt>
                <c:pt idx="20">
                  <c:v>4.0886274086468395E-2</c:v>
                </c:pt>
                <c:pt idx="21">
                  <c:v>2.0115665074176513E-2</c:v>
                </c:pt>
                <c:pt idx="22">
                  <c:v>6.3445479849933442E-2</c:v>
                </c:pt>
                <c:pt idx="23">
                  <c:v>5.3996850393700786E-2</c:v>
                </c:pt>
                <c:pt idx="24">
                  <c:v>4.6447513522029089E-2</c:v>
                </c:pt>
                <c:pt idx="25">
                  <c:v>5.4063743591582114E-2</c:v>
                </c:pt>
                <c:pt idx="26">
                  <c:v>2.4067540322580645E-2</c:v>
                </c:pt>
                <c:pt idx="27">
                  <c:v>4.432782968556679E-2</c:v>
                </c:pt>
                <c:pt idx="28">
                  <c:v>7.0624048706240491E-2</c:v>
                </c:pt>
                <c:pt idx="29">
                  <c:v>6.7489788340141105E-2</c:v>
                </c:pt>
                <c:pt idx="30">
                  <c:v>4.5365375183913682E-2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08-4BDA-8924-6DAC79D83CD8}"/>
            </c:ext>
          </c:extLst>
        </c:ser>
        <c:ser>
          <c:idx val="7"/>
          <c:order val="7"/>
          <c:tx>
            <c:v>$6,000 - $6,999</c:v>
          </c:tx>
          <c:spPr>
            <a:solidFill>
              <a:srgbClr val="9E480E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Distribution'!$I$42:$I$72</c:f>
              <c:numCache>
                <c:formatCode>0.0%</c:formatCode>
                <c:ptCount val="31"/>
                <c:pt idx="0">
                  <c:v>4.8656547876050352E-2</c:v>
                </c:pt>
                <c:pt idx="1">
                  <c:v>3.9958176152206003E-2</c:v>
                </c:pt>
                <c:pt idx="2">
                  <c:v>4.3742570894888776E-2</c:v>
                </c:pt>
                <c:pt idx="3">
                  <c:v>4.9173987513122269E-2</c:v>
                </c:pt>
                <c:pt idx="4">
                  <c:v>3.6918541349101323E-2</c:v>
                </c:pt>
                <c:pt idx="5">
                  <c:v>5.835111631215438E-2</c:v>
                </c:pt>
                <c:pt idx="6">
                  <c:v>1.97050339251615E-2</c:v>
                </c:pt>
                <c:pt idx="7">
                  <c:v>5.7908070937386896E-2</c:v>
                </c:pt>
                <c:pt idx="8">
                  <c:v>4.5673649131159247E-2</c:v>
                </c:pt>
                <c:pt idx="9">
                  <c:v>2.9088558500323207E-2</c:v>
                </c:pt>
                <c:pt idx="10">
                  <c:v>5.0241339134983472E-2</c:v>
                </c:pt>
                <c:pt idx="11">
                  <c:v>5.2015656619448292E-2</c:v>
                </c:pt>
                <c:pt idx="12">
                  <c:v>5.8464704369235294E-2</c:v>
                </c:pt>
                <c:pt idx="13">
                  <c:v>6.3769670958512159E-2</c:v>
                </c:pt>
                <c:pt idx="14">
                  <c:v>3.7077853696764869E-2</c:v>
                </c:pt>
                <c:pt idx="15">
                  <c:v>2.9056824838898654E-2</c:v>
                </c:pt>
                <c:pt idx="16">
                  <c:v>3.1067111524366899E-2</c:v>
                </c:pt>
                <c:pt idx="17">
                  <c:v>2.4956543332505587E-2</c:v>
                </c:pt>
                <c:pt idx="18">
                  <c:v>4.6608183218375412E-2</c:v>
                </c:pt>
                <c:pt idx="19">
                  <c:v>5.3200391703017894E-2</c:v>
                </c:pt>
                <c:pt idx="20">
                  <c:v>3.6568251740702759E-2</c:v>
                </c:pt>
                <c:pt idx="21">
                  <c:v>2.263012320844858E-2</c:v>
                </c:pt>
                <c:pt idx="22">
                  <c:v>5.8211303400701922E-2</c:v>
                </c:pt>
                <c:pt idx="23">
                  <c:v>5.974173228346457E-2</c:v>
                </c:pt>
                <c:pt idx="24">
                  <c:v>4.1432547392742741E-2</c:v>
                </c:pt>
                <c:pt idx="25">
                  <c:v>5.3179411799854207E-2</c:v>
                </c:pt>
                <c:pt idx="26">
                  <c:v>1.3734879032258064E-2</c:v>
                </c:pt>
                <c:pt idx="27">
                  <c:v>4.4669141174964802E-2</c:v>
                </c:pt>
                <c:pt idx="28">
                  <c:v>6.5943683409436835E-2</c:v>
                </c:pt>
                <c:pt idx="29">
                  <c:v>6.262267253726593E-2</c:v>
                </c:pt>
                <c:pt idx="30">
                  <c:v>4.6019290501880007E-2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08-4BDA-8924-6DAC79D83CD8}"/>
            </c:ext>
          </c:extLst>
        </c:ser>
        <c:ser>
          <c:idx val="8"/>
          <c:order val="8"/>
          <c:tx>
            <c:v>$7,000 - $7,999</c:v>
          </c:tx>
          <c:spPr>
            <a:solidFill>
              <a:srgbClr val="636363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Distribution'!$J$42:$J$72</c:f>
              <c:numCache>
                <c:formatCode>0.0%</c:formatCode>
                <c:ptCount val="31"/>
                <c:pt idx="0">
                  <c:v>4.3873924740110933E-2</c:v>
                </c:pt>
                <c:pt idx="1">
                  <c:v>4.3576759061833691E-2</c:v>
                </c:pt>
                <c:pt idx="2">
                  <c:v>3.725590083205977E-2</c:v>
                </c:pt>
                <c:pt idx="3">
                  <c:v>5.1255133801130816E-2</c:v>
                </c:pt>
                <c:pt idx="4">
                  <c:v>3.7488065126719039E-2</c:v>
                </c:pt>
                <c:pt idx="5">
                  <c:v>5.5941809504141717E-2</c:v>
                </c:pt>
                <c:pt idx="6">
                  <c:v>2.5596229634745865E-2</c:v>
                </c:pt>
                <c:pt idx="7">
                  <c:v>5.9476414525274461E-2</c:v>
                </c:pt>
                <c:pt idx="8">
                  <c:v>4.0526065222566056E-2</c:v>
                </c:pt>
                <c:pt idx="9">
                  <c:v>1.2928248222365869E-2</c:v>
                </c:pt>
                <c:pt idx="10">
                  <c:v>3.9280024728344867E-2</c:v>
                </c:pt>
                <c:pt idx="11">
                  <c:v>4.618436468207477E-2</c:v>
                </c:pt>
                <c:pt idx="12">
                  <c:v>5.1556241502223203E-2</c:v>
                </c:pt>
                <c:pt idx="13">
                  <c:v>5.7951835956127802E-2</c:v>
                </c:pt>
                <c:pt idx="14">
                  <c:v>3.6122743859133541E-2</c:v>
                </c:pt>
                <c:pt idx="15">
                  <c:v>2.6947861745752782E-2</c:v>
                </c:pt>
                <c:pt idx="16">
                  <c:v>3.2106328283104522E-2</c:v>
                </c:pt>
                <c:pt idx="17">
                  <c:v>2.9178048174819966E-2</c:v>
                </c:pt>
                <c:pt idx="18">
                  <c:v>4.9755574901225473E-2</c:v>
                </c:pt>
                <c:pt idx="19">
                  <c:v>5.7972046648268494E-2</c:v>
                </c:pt>
                <c:pt idx="20">
                  <c:v>3.5191882117989959E-2</c:v>
                </c:pt>
                <c:pt idx="21">
                  <c:v>2.3133014835302994E-2</c:v>
                </c:pt>
                <c:pt idx="22">
                  <c:v>5.8695389083867844E-2</c:v>
                </c:pt>
                <c:pt idx="23">
                  <c:v>5.4916535433070866E-2</c:v>
                </c:pt>
                <c:pt idx="24">
                  <c:v>4.6631308092212359E-2</c:v>
                </c:pt>
                <c:pt idx="25">
                  <c:v>5.4601512924389632E-2</c:v>
                </c:pt>
                <c:pt idx="26">
                  <c:v>1.953125E-2</c:v>
                </c:pt>
                <c:pt idx="27">
                  <c:v>3.7309612184820172E-2</c:v>
                </c:pt>
                <c:pt idx="28">
                  <c:v>6.3914256722475901E-2</c:v>
                </c:pt>
                <c:pt idx="29">
                  <c:v>5.5540820115643735E-2</c:v>
                </c:pt>
                <c:pt idx="30">
                  <c:v>2.0925290174922347E-2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08-4BDA-8924-6DAC79D83CD8}"/>
            </c:ext>
          </c:extLst>
        </c:ser>
        <c:ser>
          <c:idx val="9"/>
          <c:order val="9"/>
          <c:tx>
            <c:v>$8,000 - $8,999</c:v>
          </c:tx>
          <c:spPr>
            <a:solidFill>
              <a:srgbClr val="997300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Distribution'!$K$42:$K$72</c:f>
              <c:numCache>
                <c:formatCode>0.0%</c:formatCode>
                <c:ptCount val="31"/>
                <c:pt idx="0">
                  <c:v>3.741406224052609E-2</c:v>
                </c:pt>
                <c:pt idx="1">
                  <c:v>3.4443168771526977E-2</c:v>
                </c:pt>
                <c:pt idx="2">
                  <c:v>3.5320088300220751E-2</c:v>
                </c:pt>
                <c:pt idx="3">
                  <c:v>5.0665782639924856E-2</c:v>
                </c:pt>
                <c:pt idx="4">
                  <c:v>3.0620278396623058E-2</c:v>
                </c:pt>
                <c:pt idx="5">
                  <c:v>5.8190495858286867E-2</c:v>
                </c:pt>
                <c:pt idx="6">
                  <c:v>2.2792833055702271E-2</c:v>
                </c:pt>
                <c:pt idx="7">
                  <c:v>5.6201850990124605E-2</c:v>
                </c:pt>
                <c:pt idx="8">
                  <c:v>3.615210664127589E-2</c:v>
                </c:pt>
                <c:pt idx="9">
                  <c:v>3.1674208144796379E-2</c:v>
                </c:pt>
                <c:pt idx="10">
                  <c:v>3.856670708799962E-2</c:v>
                </c:pt>
                <c:pt idx="11">
                  <c:v>5.5210885078283096E-2</c:v>
                </c:pt>
                <c:pt idx="12">
                  <c:v>4.4941755778488225E-2</c:v>
                </c:pt>
                <c:pt idx="13">
                  <c:v>5.6068192656175492E-2</c:v>
                </c:pt>
                <c:pt idx="14">
                  <c:v>3.1959444566894424E-2</c:v>
                </c:pt>
                <c:pt idx="15">
                  <c:v>3.3860574106619801E-2</c:v>
                </c:pt>
                <c:pt idx="16">
                  <c:v>4.0037193020839031E-2</c:v>
                </c:pt>
                <c:pt idx="17">
                  <c:v>2.7315619567916564E-2</c:v>
                </c:pt>
                <c:pt idx="18">
                  <c:v>4.3862586218442377E-2</c:v>
                </c:pt>
                <c:pt idx="19">
                  <c:v>5.8577405857740586E-2</c:v>
                </c:pt>
                <c:pt idx="20">
                  <c:v>3.4193339450531657E-2</c:v>
                </c:pt>
                <c:pt idx="21">
                  <c:v>2.1875785768166959E-2</c:v>
                </c:pt>
                <c:pt idx="22">
                  <c:v>5.579087498487232E-2</c:v>
                </c:pt>
                <c:pt idx="23">
                  <c:v>5.3366929133858265E-2</c:v>
                </c:pt>
                <c:pt idx="24">
                  <c:v>4.0408549073150238E-2</c:v>
                </c:pt>
                <c:pt idx="25">
                  <c:v>4.5531136844369553E-2</c:v>
                </c:pt>
                <c:pt idx="26">
                  <c:v>2.2933467741935484E-2</c:v>
                </c:pt>
                <c:pt idx="27">
                  <c:v>4.2322624685353472E-2</c:v>
                </c:pt>
                <c:pt idx="28">
                  <c:v>5.8409436834094365E-2</c:v>
                </c:pt>
                <c:pt idx="29">
                  <c:v>5.1681608402737257E-2</c:v>
                </c:pt>
                <c:pt idx="30">
                  <c:v>4.1687101520353112E-2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08-4BDA-8924-6DAC79D83CD8}"/>
            </c:ext>
          </c:extLst>
        </c:ser>
        <c:ser>
          <c:idx val="10"/>
          <c:order val="10"/>
          <c:tx>
            <c:v>$9,000 - $9,999</c:v>
          </c:tx>
          <c:spPr>
            <a:solidFill>
              <a:srgbClr val="255E91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Distribution'!$L$42:$L$72</c:f>
              <c:numCache>
                <c:formatCode>0.0%</c:formatCode>
                <c:ptCount val="31"/>
                <c:pt idx="0">
                  <c:v>3.8310804078514726E-2</c:v>
                </c:pt>
                <c:pt idx="1">
                  <c:v>3.80515007380679E-2</c:v>
                </c:pt>
                <c:pt idx="2">
                  <c:v>3.3486160638478521E-2</c:v>
                </c:pt>
                <c:pt idx="3">
                  <c:v>4.3667237600604085E-2</c:v>
                </c:pt>
                <c:pt idx="4">
                  <c:v>3.0168009514397225E-2</c:v>
                </c:pt>
                <c:pt idx="5">
                  <c:v>4.6786443633693581E-2</c:v>
                </c:pt>
                <c:pt idx="6">
                  <c:v>2.0436354771868524E-2</c:v>
                </c:pt>
                <c:pt idx="7">
                  <c:v>5.3340916533098942E-2</c:v>
                </c:pt>
                <c:pt idx="8">
                  <c:v>3.2879076410378481E-2</c:v>
                </c:pt>
                <c:pt idx="9">
                  <c:v>3.0381383322559793E-2</c:v>
                </c:pt>
                <c:pt idx="10">
                  <c:v>3.8424043559930572E-2</c:v>
                </c:pt>
                <c:pt idx="11">
                  <c:v>4.6131110874427519E-2</c:v>
                </c:pt>
                <c:pt idx="12">
                  <c:v>3.9429684342042408E-2</c:v>
                </c:pt>
                <c:pt idx="13">
                  <c:v>5.15379113018598E-2</c:v>
                </c:pt>
                <c:pt idx="14">
                  <c:v>3.2939044400362452E-2</c:v>
                </c:pt>
                <c:pt idx="15">
                  <c:v>2.5717633274751024E-2</c:v>
                </c:pt>
                <c:pt idx="16">
                  <c:v>3.123119838100968E-2</c:v>
                </c:pt>
                <c:pt idx="17">
                  <c:v>2.6446486218028309E-2</c:v>
                </c:pt>
                <c:pt idx="18">
                  <c:v>5.5559275876693674E-2</c:v>
                </c:pt>
                <c:pt idx="19">
                  <c:v>5.5906703463010771E-2</c:v>
                </c:pt>
                <c:pt idx="20">
                  <c:v>3.3788524855616127E-2</c:v>
                </c:pt>
                <c:pt idx="21">
                  <c:v>1.8858436007040482E-2</c:v>
                </c:pt>
                <c:pt idx="22">
                  <c:v>5.4822703618540483E-2</c:v>
                </c:pt>
                <c:pt idx="23">
                  <c:v>5.4500787401574803E-2</c:v>
                </c:pt>
                <c:pt idx="24">
                  <c:v>3.8465577902641393E-2</c:v>
                </c:pt>
                <c:pt idx="25">
                  <c:v>4.8243884367643014E-2</c:v>
                </c:pt>
                <c:pt idx="26">
                  <c:v>1.5751008064516129E-2</c:v>
                </c:pt>
                <c:pt idx="27">
                  <c:v>3.1038013567131702E-2</c:v>
                </c:pt>
                <c:pt idx="28">
                  <c:v>5.7673769660071032E-2</c:v>
                </c:pt>
                <c:pt idx="29">
                  <c:v>4.5488303007797992E-2</c:v>
                </c:pt>
                <c:pt idx="30">
                  <c:v>3.0652280529671408E-2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08-4BDA-8924-6DAC79D83CD8}"/>
            </c:ext>
          </c:extLst>
        </c:ser>
        <c:ser>
          <c:idx val="11"/>
          <c:order val="11"/>
          <c:tx>
            <c:v>$10,000 - $10,999</c:v>
          </c:tx>
          <c:spPr>
            <a:solidFill>
              <a:srgbClr val="43682B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Distribution'!$M$42:$M$72</c:f>
              <c:numCache>
                <c:formatCode>0.0%</c:formatCode>
                <c:ptCount val="31"/>
                <c:pt idx="0">
                  <c:v>3.1933973230595505E-2</c:v>
                </c:pt>
                <c:pt idx="1">
                  <c:v>3.3479580121371165E-2</c:v>
                </c:pt>
                <c:pt idx="2">
                  <c:v>3.205977245712345E-2</c:v>
                </c:pt>
                <c:pt idx="3">
                  <c:v>3.7147540379763151E-2</c:v>
                </c:pt>
                <c:pt idx="4">
                  <c:v>3.3183135395902778E-2</c:v>
                </c:pt>
                <c:pt idx="5">
                  <c:v>3.9833872559142745E-2</c:v>
                </c:pt>
                <c:pt idx="6">
                  <c:v>2.4783650916182506E-2</c:v>
                </c:pt>
                <c:pt idx="7">
                  <c:v>4.861865122451442E-2</c:v>
                </c:pt>
                <c:pt idx="8">
                  <c:v>3.5527255415377289E-2</c:v>
                </c:pt>
                <c:pt idx="9">
                  <c:v>3.4259857789269557E-2</c:v>
                </c:pt>
                <c:pt idx="10">
                  <c:v>3.7710725919585325E-2</c:v>
                </c:pt>
                <c:pt idx="11">
                  <c:v>4.068590904249654E-2</c:v>
                </c:pt>
                <c:pt idx="12">
                  <c:v>3.7151361481644801E-2</c:v>
                </c:pt>
                <c:pt idx="13">
                  <c:v>4.9129709108249882E-2</c:v>
                </c:pt>
                <c:pt idx="14">
                  <c:v>3.4408444150564495E-2</c:v>
                </c:pt>
                <c:pt idx="15">
                  <c:v>2.7709431751611013E-2</c:v>
                </c:pt>
                <c:pt idx="16">
                  <c:v>2.9590329814581852E-2</c:v>
                </c:pt>
                <c:pt idx="17">
                  <c:v>2.3094114725602185E-2</c:v>
                </c:pt>
                <c:pt idx="18">
                  <c:v>4.8617156632960561E-2</c:v>
                </c:pt>
                <c:pt idx="19">
                  <c:v>5.1918454553547586E-2</c:v>
                </c:pt>
                <c:pt idx="20">
                  <c:v>3.0873859772224323E-2</c:v>
                </c:pt>
                <c:pt idx="21">
                  <c:v>1.8606990193613275E-2</c:v>
                </c:pt>
                <c:pt idx="22">
                  <c:v>4.937673968292388E-2</c:v>
                </c:pt>
                <c:pt idx="23">
                  <c:v>4.8403149606299212E-2</c:v>
                </c:pt>
                <c:pt idx="24">
                  <c:v>3.5104762905004465E-2</c:v>
                </c:pt>
                <c:pt idx="25">
                  <c:v>4.6654477228456365E-2</c:v>
                </c:pt>
                <c:pt idx="26">
                  <c:v>2.3059475806451613E-2</c:v>
                </c:pt>
                <c:pt idx="27">
                  <c:v>3.1443320960791846E-2</c:v>
                </c:pt>
                <c:pt idx="28">
                  <c:v>4.4152714358193811E-2</c:v>
                </c:pt>
                <c:pt idx="29">
                  <c:v>4.7663253938783089E-2</c:v>
                </c:pt>
                <c:pt idx="30">
                  <c:v>3.3921857119503025E-2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08-4BDA-8924-6DAC79D83CD8}"/>
            </c:ext>
          </c:extLst>
        </c:ser>
        <c:ser>
          <c:idx val="12"/>
          <c:order val="12"/>
          <c:tx>
            <c:v>$11,000 - $11,999</c:v>
          </c:tx>
          <c:spPr>
            <a:solidFill>
              <a:srgbClr val="2E75B6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Distribution'!$N$42:$N$72</c:f>
              <c:numCache>
                <c:formatCode>0.0%</c:formatCode>
                <c:ptCount val="31"/>
                <c:pt idx="0">
                  <c:v>3.0871168089275633E-2</c:v>
                </c:pt>
                <c:pt idx="1">
                  <c:v>2.7523782187961292E-2</c:v>
                </c:pt>
                <c:pt idx="2">
                  <c:v>3.2942774664628971E-2</c:v>
                </c:pt>
                <c:pt idx="3">
                  <c:v>4.046264066154668E-2</c:v>
                </c:pt>
                <c:pt idx="4">
                  <c:v>2.8543191678252568E-2</c:v>
                </c:pt>
                <c:pt idx="5">
                  <c:v>3.8227668020467634E-2</c:v>
                </c:pt>
                <c:pt idx="6">
                  <c:v>2.1533336041929061E-2</c:v>
                </c:pt>
                <c:pt idx="7">
                  <c:v>4.4482360443272494E-2</c:v>
                </c:pt>
                <c:pt idx="8">
                  <c:v>2.9754820280885504E-2</c:v>
                </c:pt>
                <c:pt idx="9">
                  <c:v>3.0381383322559793E-2</c:v>
                </c:pt>
                <c:pt idx="10">
                  <c:v>3.3240602040088454E-2</c:v>
                </c:pt>
                <c:pt idx="11">
                  <c:v>3.0740760464373202E-2</c:v>
                </c:pt>
                <c:pt idx="12">
                  <c:v>3.4726050049608645E-2</c:v>
                </c:pt>
                <c:pt idx="13">
                  <c:v>4.1893180734382453E-2</c:v>
                </c:pt>
                <c:pt idx="14">
                  <c:v>2.7232875370411188E-2</c:v>
                </c:pt>
                <c:pt idx="15">
                  <c:v>2.4428822495606326E-2</c:v>
                </c:pt>
                <c:pt idx="16">
                  <c:v>2.7402505059344745E-2</c:v>
                </c:pt>
                <c:pt idx="17">
                  <c:v>2.0486714675937424E-2</c:v>
                </c:pt>
                <c:pt idx="18">
                  <c:v>4.5469764950110493E-2</c:v>
                </c:pt>
                <c:pt idx="19">
                  <c:v>4.6256565476720378E-2</c:v>
                </c:pt>
                <c:pt idx="20">
                  <c:v>2.5530307119339343E-2</c:v>
                </c:pt>
                <c:pt idx="21">
                  <c:v>2.3133014835302994E-2</c:v>
                </c:pt>
                <c:pt idx="22">
                  <c:v>4.220622050102868E-2</c:v>
                </c:pt>
                <c:pt idx="23">
                  <c:v>4.8201574803149606E-2</c:v>
                </c:pt>
                <c:pt idx="24">
                  <c:v>3.3450611773355038E-2</c:v>
                </c:pt>
                <c:pt idx="25">
                  <c:v>4.0416352967889195E-2</c:v>
                </c:pt>
                <c:pt idx="26">
                  <c:v>1.6255040322580645E-2</c:v>
                </c:pt>
                <c:pt idx="27">
                  <c:v>2.8947480694568879E-2</c:v>
                </c:pt>
                <c:pt idx="28">
                  <c:v>4.0613901572805686E-2</c:v>
                </c:pt>
                <c:pt idx="29">
                  <c:v>3.9268473821017454E-2</c:v>
                </c:pt>
                <c:pt idx="30">
                  <c:v>2.8772273990518227E-2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08-4BDA-8924-6DAC79D83CD8}"/>
            </c:ext>
          </c:extLst>
        </c:ser>
        <c:ser>
          <c:idx val="13"/>
          <c:order val="13"/>
          <c:tx>
            <c:v>$12,000 - $12,999</c:v>
          </c:tx>
          <c:spPr>
            <a:solidFill>
              <a:srgbClr val="F4B183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Distribution'!$O$42:$O$72</c:f>
              <c:numCache>
                <c:formatCode>0.0%</c:formatCode>
                <c:ptCount val="31"/>
                <c:pt idx="0">
                  <c:v>2.2119632003719816E-2</c:v>
                </c:pt>
                <c:pt idx="1">
                  <c:v>2.689847465966869E-2</c:v>
                </c:pt>
                <c:pt idx="2">
                  <c:v>3.0293768042112413E-2</c:v>
                </c:pt>
                <c:pt idx="3">
                  <c:v>2.8159935171372268E-2</c:v>
                </c:pt>
                <c:pt idx="4">
                  <c:v>2.6198093770414915E-2</c:v>
                </c:pt>
                <c:pt idx="5">
                  <c:v>3.8112939124847985E-2</c:v>
                </c:pt>
                <c:pt idx="6">
                  <c:v>1.9664404989233331E-2</c:v>
                </c:pt>
                <c:pt idx="7">
                  <c:v>3.729555521086466E-2</c:v>
                </c:pt>
                <c:pt idx="8">
                  <c:v>2.7225660557010235E-2</c:v>
                </c:pt>
                <c:pt idx="9">
                  <c:v>3.1674208144796379E-2</c:v>
                </c:pt>
                <c:pt idx="10">
                  <c:v>2.5108780940152651E-2</c:v>
                </c:pt>
                <c:pt idx="11">
                  <c:v>3.3975929278943447E-2</c:v>
                </c:pt>
                <c:pt idx="12">
                  <c:v>2.9838680042626686E-2</c:v>
                </c:pt>
                <c:pt idx="13">
                  <c:v>3.8626609442060089E-2</c:v>
                </c:pt>
                <c:pt idx="14">
                  <c:v>2.9020645066490339E-2</c:v>
                </c:pt>
                <c:pt idx="15">
                  <c:v>2.1968365553602813E-2</c:v>
                </c:pt>
                <c:pt idx="16">
                  <c:v>2.2097030027894767E-2</c:v>
                </c:pt>
                <c:pt idx="17">
                  <c:v>2.7067295753662776E-2</c:v>
                </c:pt>
                <c:pt idx="18">
                  <c:v>4.7054621754949885E-2</c:v>
                </c:pt>
                <c:pt idx="19">
                  <c:v>4.4280245704620316E-2</c:v>
                </c:pt>
                <c:pt idx="20">
                  <c:v>3.1197711448156744E-2</c:v>
                </c:pt>
                <c:pt idx="21">
                  <c:v>1.986421926074931E-2</c:v>
                </c:pt>
                <c:pt idx="22">
                  <c:v>3.6851022631005689E-2</c:v>
                </c:pt>
                <c:pt idx="23">
                  <c:v>3.900472440944882E-2</c:v>
                </c:pt>
                <c:pt idx="24">
                  <c:v>2.7437903691645223E-2</c:v>
                </c:pt>
                <c:pt idx="25">
                  <c:v>3.6412959045877699E-2</c:v>
                </c:pt>
                <c:pt idx="26">
                  <c:v>1.9783266129032258E-2</c:v>
                </c:pt>
                <c:pt idx="27">
                  <c:v>2.6600964204957549E-2</c:v>
                </c:pt>
                <c:pt idx="28">
                  <c:v>3.5502283105022833E-2</c:v>
                </c:pt>
                <c:pt idx="29">
                  <c:v>3.1457217123760012E-2</c:v>
                </c:pt>
                <c:pt idx="30">
                  <c:v>2.1824423737126043E-2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08-4BDA-8924-6DAC79D83CD8}"/>
            </c:ext>
          </c:extLst>
        </c:ser>
        <c:ser>
          <c:idx val="14"/>
          <c:order val="14"/>
          <c:tx>
            <c:v>$13,000 - $13,999</c:v>
          </c:tx>
          <c:spPr>
            <a:solidFill>
              <a:srgbClr val="BFBFBF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Distribution'!$P$42:$P$72</c:f>
              <c:numCache>
                <c:formatCode>0.0%</c:formatCode>
                <c:ptCount val="31"/>
                <c:pt idx="0">
                  <c:v>2.3282075127038428E-2</c:v>
                </c:pt>
                <c:pt idx="1">
                  <c:v>2.5781121863211416E-2</c:v>
                </c:pt>
                <c:pt idx="2">
                  <c:v>2.9274919341144508E-2</c:v>
                </c:pt>
                <c:pt idx="3">
                  <c:v>2.8436193528187562E-2</c:v>
                </c:pt>
                <c:pt idx="4">
                  <c:v>2.2445937117874671E-2</c:v>
                </c:pt>
                <c:pt idx="5">
                  <c:v>2.5997567747412863E-2</c:v>
                </c:pt>
                <c:pt idx="6">
                  <c:v>1.8648681591029132E-2</c:v>
                </c:pt>
                <c:pt idx="7">
                  <c:v>3.5761680712820779E-2</c:v>
                </c:pt>
                <c:pt idx="8">
                  <c:v>2.7285170197572008E-2</c:v>
                </c:pt>
                <c:pt idx="9">
                  <c:v>3.0381383322559793E-2</c:v>
                </c:pt>
                <c:pt idx="10">
                  <c:v>2.1922628813277219E-2</c:v>
                </c:pt>
                <c:pt idx="11">
                  <c:v>3.3097241452763874E-2</c:v>
                </c:pt>
                <c:pt idx="12">
                  <c:v>2.5282034321831477E-2</c:v>
                </c:pt>
                <c:pt idx="13">
                  <c:v>3.5538865045302813E-2</c:v>
                </c:pt>
                <c:pt idx="14">
                  <c:v>2.321651605319227E-2</c:v>
                </c:pt>
                <c:pt idx="15">
                  <c:v>1.7223198594024606E-2</c:v>
                </c:pt>
                <c:pt idx="16">
                  <c:v>2.1932943171251981E-2</c:v>
                </c:pt>
                <c:pt idx="17">
                  <c:v>1.6886019369257512E-2</c:v>
                </c:pt>
                <c:pt idx="18">
                  <c:v>3.5558829438157101E-2</c:v>
                </c:pt>
                <c:pt idx="19">
                  <c:v>3.9900293777263424E-2</c:v>
                </c:pt>
                <c:pt idx="20">
                  <c:v>2.4450801532897932E-2</c:v>
                </c:pt>
                <c:pt idx="21">
                  <c:v>1.3578073925069148E-2</c:v>
                </c:pt>
                <c:pt idx="22">
                  <c:v>4.051192060994796E-2</c:v>
                </c:pt>
                <c:pt idx="23">
                  <c:v>3.8034645669291337E-2</c:v>
                </c:pt>
                <c:pt idx="24">
                  <c:v>2.785800556634984E-2</c:v>
                </c:pt>
                <c:pt idx="25">
                  <c:v>3.3568756796806848E-2</c:v>
                </c:pt>
                <c:pt idx="26">
                  <c:v>1.7893145161290324E-2</c:v>
                </c:pt>
                <c:pt idx="27">
                  <c:v>1.8580144204104272E-2</c:v>
                </c:pt>
                <c:pt idx="28">
                  <c:v>3.7011669203450025E-2</c:v>
                </c:pt>
                <c:pt idx="29">
                  <c:v>3.0038194260251446E-2</c:v>
                </c:pt>
                <c:pt idx="30">
                  <c:v>8.6643779630537852E-3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08-4BDA-8924-6DAC79D83CD8}"/>
            </c:ext>
          </c:extLst>
        </c:ser>
        <c:ser>
          <c:idx val="15"/>
          <c:order val="15"/>
          <c:tx>
            <c:v>$14,000 - $14,999</c:v>
          </c:tx>
          <c:spPr>
            <a:solidFill>
              <a:srgbClr val="FFD966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Distribution'!$Q$42:$Q$72</c:f>
              <c:numCache>
                <c:formatCode>0.0%</c:formatCode>
                <c:ptCount val="31"/>
                <c:pt idx="0">
                  <c:v>2.0292935667076288E-2</c:v>
                </c:pt>
                <c:pt idx="1">
                  <c:v>1.9804822043628014E-2</c:v>
                </c:pt>
                <c:pt idx="2">
                  <c:v>2.6388181355068773E-2</c:v>
                </c:pt>
                <c:pt idx="3">
                  <c:v>2.8233604066523012E-2</c:v>
                </c:pt>
                <c:pt idx="4">
                  <c:v>2.2244928725774302E-2</c:v>
                </c:pt>
                <c:pt idx="5">
                  <c:v>2.6043459305660724E-2</c:v>
                </c:pt>
                <c:pt idx="6">
                  <c:v>1.9095599886238979E-2</c:v>
                </c:pt>
                <c:pt idx="7">
                  <c:v>3.7519604294848595E-2</c:v>
                </c:pt>
                <c:pt idx="8">
                  <c:v>2.1334206141394908E-2</c:v>
                </c:pt>
                <c:pt idx="9">
                  <c:v>1.0342598577892695E-2</c:v>
                </c:pt>
                <c:pt idx="10">
                  <c:v>2.2683500962978814E-2</c:v>
                </c:pt>
                <c:pt idx="11">
                  <c:v>2.8344339120247097E-2</c:v>
                </c:pt>
                <c:pt idx="12">
                  <c:v>2.0541652886488074E-2</c:v>
                </c:pt>
                <c:pt idx="13">
                  <c:v>3.1223175965665238E-2</c:v>
                </c:pt>
                <c:pt idx="14">
                  <c:v>1.8318516885852128E-2</c:v>
                </c:pt>
                <c:pt idx="15">
                  <c:v>1.4294083186877563E-2</c:v>
                </c:pt>
                <c:pt idx="16">
                  <c:v>1.6353990045397365E-2</c:v>
                </c:pt>
                <c:pt idx="17">
                  <c:v>1.9120933697541594E-2</c:v>
                </c:pt>
                <c:pt idx="18">
                  <c:v>3.7567802852742249E-2</c:v>
                </c:pt>
                <c:pt idx="19">
                  <c:v>3.154989762307487E-2</c:v>
                </c:pt>
                <c:pt idx="20">
                  <c:v>2.1023371295946457E-2</c:v>
                </c:pt>
                <c:pt idx="21">
                  <c:v>2.263012320844858E-2</c:v>
                </c:pt>
                <c:pt idx="22">
                  <c:v>3.5338254871112189E-2</c:v>
                </c:pt>
                <c:pt idx="23">
                  <c:v>3.6371653543307084E-2</c:v>
                </c:pt>
                <c:pt idx="24">
                  <c:v>2.6518930840728878E-2</c:v>
                </c:pt>
                <c:pt idx="25">
                  <c:v>2.8095460031788144E-2</c:v>
                </c:pt>
                <c:pt idx="26">
                  <c:v>1.2474798387096774E-2</c:v>
                </c:pt>
                <c:pt idx="27">
                  <c:v>1.9049447502026536E-2</c:v>
                </c:pt>
                <c:pt idx="28">
                  <c:v>2.7688990360223237E-2</c:v>
                </c:pt>
                <c:pt idx="29">
                  <c:v>2.5449578271709725E-2</c:v>
                </c:pt>
                <c:pt idx="30">
                  <c:v>1.7900931829328101E-2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08-4BDA-8924-6DAC79D83CD8}"/>
            </c:ext>
          </c:extLst>
        </c:ser>
        <c:ser>
          <c:idx val="16"/>
          <c:order val="16"/>
          <c:tx>
            <c:v>$15,000 - $17,499</c:v>
          </c:tx>
          <c:spPr>
            <a:solidFill>
              <a:srgbClr val="9DC3E6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Distribution'!$R$42:$R$72</c:f>
              <c:numCache>
                <c:formatCode>0.0%</c:formatCode>
                <c:ptCount val="31"/>
                <c:pt idx="0">
                  <c:v>4.3973562722109671E-2</c:v>
                </c:pt>
                <c:pt idx="1">
                  <c:v>4.1577825159914712E-2</c:v>
                </c:pt>
                <c:pt idx="2">
                  <c:v>6.2998811343182207E-2</c:v>
                </c:pt>
                <c:pt idx="3">
                  <c:v>5.4386061845037477E-2</c:v>
                </c:pt>
                <c:pt idx="4">
                  <c:v>5.3434730900015076E-2</c:v>
                </c:pt>
                <c:pt idx="5">
                  <c:v>5.9062435464996212E-2</c:v>
                </c:pt>
                <c:pt idx="6">
                  <c:v>5.0704912038353714E-2</c:v>
                </c:pt>
                <c:pt idx="7">
                  <c:v>6.9834376023301101E-2</c:v>
                </c:pt>
                <c:pt idx="8">
                  <c:v>5.2130445132111403E-2</c:v>
                </c:pt>
                <c:pt idx="9">
                  <c:v>6.5934065934065936E-2</c:v>
                </c:pt>
                <c:pt idx="10">
                  <c:v>4.1943077252300447E-2</c:v>
                </c:pt>
                <c:pt idx="11">
                  <c:v>5.2388433272979019E-2</c:v>
                </c:pt>
                <c:pt idx="12">
                  <c:v>5.1997207217138866E-2</c:v>
                </c:pt>
                <c:pt idx="13">
                  <c:v>6.0205054840247976E-2</c:v>
                </c:pt>
                <c:pt idx="14">
                  <c:v>4.5135062327039406E-2</c:v>
                </c:pt>
                <c:pt idx="15">
                  <c:v>4.6397188049209136E-2</c:v>
                </c:pt>
                <c:pt idx="16">
                  <c:v>4.6217797954383855E-2</c:v>
                </c:pt>
                <c:pt idx="17">
                  <c:v>4.0600943630494164E-2</c:v>
                </c:pt>
                <c:pt idx="18">
                  <c:v>7.5604366168887702E-2</c:v>
                </c:pt>
                <c:pt idx="19">
                  <c:v>7.396065165138431E-2</c:v>
                </c:pt>
                <c:pt idx="20">
                  <c:v>5.7132833162411613E-2</c:v>
                </c:pt>
                <c:pt idx="21">
                  <c:v>4.9031933618305254E-2</c:v>
                </c:pt>
                <c:pt idx="22">
                  <c:v>5.6305216023236113E-2</c:v>
                </c:pt>
                <c:pt idx="23">
                  <c:v>7.5981102362204719E-2</c:v>
                </c:pt>
                <c:pt idx="24">
                  <c:v>5.2932836212781602E-2</c:v>
                </c:pt>
                <c:pt idx="25">
                  <c:v>6.3755542011735319E-2</c:v>
                </c:pt>
                <c:pt idx="26">
                  <c:v>4.5236895161290321E-2</c:v>
                </c:pt>
                <c:pt idx="27">
                  <c:v>4.829557574981868E-2</c:v>
                </c:pt>
                <c:pt idx="28">
                  <c:v>5.8016235413495688E-2</c:v>
                </c:pt>
                <c:pt idx="29">
                  <c:v>4.9334252824783834E-2</c:v>
                </c:pt>
                <c:pt idx="30">
                  <c:v>5.1087134216119011E-2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08-4BDA-8924-6DAC79D83CD8}"/>
            </c:ext>
          </c:extLst>
        </c:ser>
        <c:ser>
          <c:idx val="17"/>
          <c:order val="17"/>
          <c:tx>
            <c:v>$17,500 - $19,999</c:v>
          </c:tx>
          <c:spPr>
            <a:solidFill>
              <a:srgbClr val="70AD47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Distribution'!$S$42:$S$72</c:f>
              <c:numCache>
                <c:formatCode>0.0%</c:formatCode>
                <c:ptCount val="31"/>
                <c:pt idx="0">
                  <c:v>3.0140489554618219E-2</c:v>
                </c:pt>
                <c:pt idx="1">
                  <c:v>3.4125389535837297E-2</c:v>
                </c:pt>
                <c:pt idx="2">
                  <c:v>5.291220920359993E-2</c:v>
                </c:pt>
                <c:pt idx="3">
                  <c:v>3.8620918282778055E-2</c:v>
                </c:pt>
                <c:pt idx="4">
                  <c:v>3.3400894487344845E-2</c:v>
                </c:pt>
                <c:pt idx="5">
                  <c:v>4.3596980335467293E-2</c:v>
                </c:pt>
                <c:pt idx="6">
                  <c:v>4.4529313777272171E-2</c:v>
                </c:pt>
                <c:pt idx="7">
                  <c:v>5.0807438429588264E-2</c:v>
                </c:pt>
                <c:pt idx="8">
                  <c:v>3.9663175434420377E-2</c:v>
                </c:pt>
                <c:pt idx="9">
                  <c:v>4.5248868778280542E-2</c:v>
                </c:pt>
                <c:pt idx="10">
                  <c:v>3.1290867156478115E-2</c:v>
                </c:pt>
                <c:pt idx="11">
                  <c:v>4.1458089253381618E-2</c:v>
                </c:pt>
                <c:pt idx="12">
                  <c:v>3.7004372910006245E-2</c:v>
                </c:pt>
                <c:pt idx="13">
                  <c:v>3.6051502145922745E-2</c:v>
                </c:pt>
                <c:pt idx="14">
                  <c:v>3.5339063992359122E-2</c:v>
                </c:pt>
                <c:pt idx="15">
                  <c:v>3.8429994141769189E-2</c:v>
                </c:pt>
                <c:pt idx="16">
                  <c:v>3.861510692993491E-2</c:v>
                </c:pt>
                <c:pt idx="17">
                  <c:v>2.6818971939408989E-2</c:v>
                </c:pt>
                <c:pt idx="18">
                  <c:v>5.5001227705975576E-2</c:v>
                </c:pt>
                <c:pt idx="19">
                  <c:v>5.0440665895130417E-2</c:v>
                </c:pt>
                <c:pt idx="20">
                  <c:v>4.1426026879689104E-2</c:v>
                </c:pt>
                <c:pt idx="21">
                  <c:v>4.9534825245159668E-2</c:v>
                </c:pt>
                <c:pt idx="22">
                  <c:v>4.6502480939126227E-2</c:v>
                </c:pt>
                <c:pt idx="23">
                  <c:v>5.0481889763779528E-2</c:v>
                </c:pt>
                <c:pt idx="24">
                  <c:v>4.7681562778973903E-2</c:v>
                </c:pt>
                <c:pt idx="25">
                  <c:v>4.4790210208056978E-2</c:v>
                </c:pt>
                <c:pt idx="26">
                  <c:v>5.040322580645161E-2</c:v>
                </c:pt>
                <c:pt idx="27">
                  <c:v>3.3021886599257651E-2</c:v>
                </c:pt>
                <c:pt idx="28">
                  <c:v>3.4081684424150174E-2</c:v>
                </c:pt>
                <c:pt idx="29">
                  <c:v>3.1337860060474246E-2</c:v>
                </c:pt>
                <c:pt idx="30">
                  <c:v>4.6101029916625798E-2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08-4BDA-8924-6DAC79D83CD8}"/>
            </c:ext>
          </c:extLst>
        </c:ser>
        <c:ser>
          <c:idx val="18"/>
          <c:order val="18"/>
          <c:tx>
            <c:v>$20,000 &amp; over</c:v>
          </c:tx>
          <c:spPr>
            <a:solidFill>
              <a:srgbClr val="2F5597"/>
            </a:solidFill>
          </c:spPr>
          <c:invertIfNegative val="0"/>
          <c:cat>
            <c:strRef>
              <c:f>'Income Distribution'!$A$42:$A$72</c:f>
              <c:strCache>
                <c:ptCount val="31"/>
                <c:pt idx="0">
                  <c:v>Ang Mo Kio</c:v>
                </c:pt>
                <c:pt idx="1">
                  <c:v>Bedok</c:v>
                </c:pt>
                <c:pt idx="2">
                  <c:v>Bishan</c:v>
                </c:pt>
                <c:pt idx="3">
                  <c:v>Bukit Batok</c:v>
                </c:pt>
                <c:pt idx="4">
                  <c:v>Bukit Merah</c:v>
                </c:pt>
                <c:pt idx="5">
                  <c:v>Bukit Panjang</c:v>
                </c:pt>
                <c:pt idx="6">
                  <c:v>Bukit Timah</c:v>
                </c:pt>
                <c:pt idx="7">
                  <c:v>Choa Chu Kang</c:v>
                </c:pt>
                <c:pt idx="8">
                  <c:v>Clementi</c:v>
                </c:pt>
                <c:pt idx="9">
                  <c:v>Downtown Core</c:v>
                </c:pt>
                <c:pt idx="10">
                  <c:v>Geylang</c:v>
                </c:pt>
                <c:pt idx="11">
                  <c:v>Hougang</c:v>
                </c:pt>
                <c:pt idx="12">
                  <c:v>Jurong East</c:v>
                </c:pt>
                <c:pt idx="13">
                  <c:v>Jurong West</c:v>
                </c:pt>
                <c:pt idx="14">
                  <c:v>Kallang</c:v>
                </c:pt>
                <c:pt idx="15">
                  <c:v>Marine Parade</c:v>
                </c:pt>
                <c:pt idx="16">
                  <c:v>Novena</c:v>
                </c:pt>
                <c:pt idx="17">
                  <c:v>Outram</c:v>
                </c:pt>
                <c:pt idx="18">
                  <c:v>Pasir Ris</c:v>
                </c:pt>
                <c:pt idx="19">
                  <c:v>Punggol</c:v>
                </c:pt>
                <c:pt idx="20">
                  <c:v>Queenstown</c:v>
                </c:pt>
                <c:pt idx="21">
                  <c:v>River Valley</c:v>
                </c:pt>
                <c:pt idx="22">
                  <c:v>Sembawang</c:v>
                </c:pt>
                <c:pt idx="23">
                  <c:v>Sengkang</c:v>
                </c:pt>
                <c:pt idx="24">
                  <c:v>Serangoon</c:v>
                </c:pt>
                <c:pt idx="25">
                  <c:v>Tampines</c:v>
                </c:pt>
                <c:pt idx="26">
                  <c:v>Tanglin</c:v>
                </c:pt>
                <c:pt idx="27">
                  <c:v>Toa Payoh</c:v>
                </c:pt>
                <c:pt idx="28">
                  <c:v>Woodlands</c:v>
                </c:pt>
                <c:pt idx="29">
                  <c:v>Yishun</c:v>
                </c:pt>
                <c:pt idx="30">
                  <c:v>Others</c:v>
                </c:pt>
              </c:strCache>
            </c:strRef>
          </c:cat>
          <c:val>
            <c:numRef>
              <c:f>'Income Distribution'!$T$42:$T$72</c:f>
              <c:numCache>
                <c:formatCode>0.0%</c:formatCode>
                <c:ptCount val="31"/>
                <c:pt idx="0">
                  <c:v>0.10847254973595935</c:v>
                </c:pt>
                <c:pt idx="1">
                  <c:v>0.17598819091356405</c:v>
                </c:pt>
                <c:pt idx="2">
                  <c:v>0.23419935472915607</c:v>
                </c:pt>
                <c:pt idx="3">
                  <c:v>0.13153581229165515</c:v>
                </c:pt>
                <c:pt idx="4">
                  <c:v>0.13055495066919043</c:v>
                </c:pt>
                <c:pt idx="5">
                  <c:v>0.12427433973520571</c:v>
                </c:pt>
                <c:pt idx="6">
                  <c:v>0.45484093771584122</c:v>
                </c:pt>
                <c:pt idx="7">
                  <c:v>0.11354118194509075</c:v>
                </c:pt>
                <c:pt idx="8">
                  <c:v>0.17986788859795286</c:v>
                </c:pt>
                <c:pt idx="9">
                  <c:v>0.40853264382676147</c:v>
                </c:pt>
                <c:pt idx="10">
                  <c:v>0.11760230163825285</c:v>
                </c:pt>
                <c:pt idx="11">
                  <c:v>0.12820854191074663</c:v>
                </c:pt>
                <c:pt idx="12">
                  <c:v>9.6057031565795759E-2</c:v>
                </c:pt>
                <c:pt idx="13">
                  <c:v>8.2618025751072965E-2</c:v>
                </c:pt>
                <c:pt idx="14">
                  <c:v>0.13422966718095658</c:v>
                </c:pt>
                <c:pt idx="15">
                  <c:v>0.27996485061511422</c:v>
                </c:pt>
                <c:pt idx="16">
                  <c:v>0.27462670240113768</c:v>
                </c:pt>
                <c:pt idx="17">
                  <c:v>0.10777253538614354</c:v>
                </c:pt>
                <c:pt idx="18">
                  <c:v>0.17670037277617803</c:v>
                </c:pt>
                <c:pt idx="19">
                  <c:v>0.10928514199234399</c:v>
                </c:pt>
                <c:pt idx="20">
                  <c:v>0.14886382037027041</c:v>
                </c:pt>
                <c:pt idx="21">
                  <c:v>0.46768921297460397</c:v>
                </c:pt>
                <c:pt idx="22">
                  <c:v>8.701440154907418E-2</c:v>
                </c:pt>
                <c:pt idx="23">
                  <c:v>0.11105511811023622</c:v>
                </c:pt>
                <c:pt idx="24">
                  <c:v>0.22669747413747834</c:v>
                </c:pt>
                <c:pt idx="25">
                  <c:v>0.11589526643482834</c:v>
                </c:pt>
                <c:pt idx="26">
                  <c:v>0.50113407258064513</c:v>
                </c:pt>
                <c:pt idx="27">
                  <c:v>0.13001834549255514</c:v>
                </c:pt>
                <c:pt idx="28">
                  <c:v>6.423135464231354E-2</c:v>
                </c:pt>
                <c:pt idx="29">
                  <c:v>7.3139356002334094E-2</c:v>
                </c:pt>
                <c:pt idx="30">
                  <c:v>0.30170017982671243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608-4BDA-8924-6DAC79D83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SG" sz="1200"/>
                  <a:t>Planning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SG" sz="1200"/>
                  <a:t>Share of Households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1"/>
      </c:valAx>
    </c:plotArea>
    <c:legend>
      <c:legendPos val="r"/>
      <c:overlay val="0"/>
      <c:txPr>
        <a:bodyPr anchorCtr="1"/>
        <a:lstStyle/>
        <a:p>
          <a:pPr>
            <a:defRPr sz="8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6192500" cy="723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597"/>
  </sheetPr>
  <dimension ref="A3:W75"/>
  <sheetViews>
    <sheetView showGridLines="0" tabSelected="1" topLeftCell="A10" workbookViewId="0">
      <selection activeCell="P21" sqref="P21"/>
    </sheetView>
  </sheetViews>
  <sheetFormatPr defaultRowHeight="13.8"/>
  <cols>
    <col min="1" max="1" width="19" customWidth="1"/>
    <col min="2" max="20" width="14" customWidth="1"/>
  </cols>
  <sheetData>
    <row r="3" spans="1:2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0" spans="1:20" ht="15.6">
      <c r="A40" s="2" t="s">
        <v>0</v>
      </c>
    </row>
    <row r="41" spans="1:20" ht="42" customHeight="1">
      <c r="A41" s="4" t="s">
        <v>1</v>
      </c>
      <c r="B41" s="5" t="s">
        <v>2</v>
      </c>
      <c r="C41" s="5" t="s">
        <v>3</v>
      </c>
      <c r="D41" s="5" t="s">
        <v>4</v>
      </c>
      <c r="E41" s="5" t="s">
        <v>5</v>
      </c>
      <c r="F41" s="5" t="s">
        <v>6</v>
      </c>
      <c r="G41" s="5" t="s">
        <v>7</v>
      </c>
      <c r="H41" s="5" t="s">
        <v>8</v>
      </c>
      <c r="I41" s="5" t="s">
        <v>9</v>
      </c>
      <c r="J41" s="5" t="s">
        <v>10</v>
      </c>
      <c r="K41" s="5" t="s">
        <v>11</v>
      </c>
      <c r="L41" s="5" t="s">
        <v>12</v>
      </c>
      <c r="M41" s="5" t="s">
        <v>13</v>
      </c>
      <c r="N41" s="5" t="s">
        <v>14</v>
      </c>
      <c r="O41" s="5" t="s">
        <v>15</v>
      </c>
      <c r="P41" s="5" t="s">
        <v>16</v>
      </c>
      <c r="Q41" s="5" t="s">
        <v>17</v>
      </c>
      <c r="R41" s="5" t="s">
        <v>18</v>
      </c>
      <c r="S41" s="5" t="s">
        <v>19</v>
      </c>
      <c r="T41" s="6" t="s">
        <v>20</v>
      </c>
    </row>
    <row r="42" spans="1:20" ht="19.05" customHeight="1">
      <c r="A42" s="1" t="s">
        <v>21</v>
      </c>
      <c r="B42" s="11">
        <f>'Source Data'!C5/SUM('Source Data'!$C5:$U5)</f>
        <v>0.1902255139659238</v>
      </c>
      <c r="C42" s="11">
        <f>'Source Data'!D5/SUM('Source Data'!$C5:$U5)</f>
        <v>2.5955694310671226E-2</v>
      </c>
      <c r="D42" s="11">
        <f>'Source Data'!E5/SUM('Source Data'!$C5:$U5)</f>
        <v>7.0211564648443983E-2</v>
      </c>
      <c r="E42" s="11">
        <f>'Source Data'!F5/SUM('Source Data'!$C5:$U5)</f>
        <v>5.906871699491846E-2</v>
      </c>
      <c r="F42" s="11">
        <f>'Source Data'!G5/SUM('Source Data'!$C5:$U5)</f>
        <v>6.7006542894151255E-2</v>
      </c>
      <c r="G42" s="11">
        <f>'Source Data'!H5/SUM('Source Data'!$C5:$U5)</f>
        <v>5.5714238267627621E-2</v>
      </c>
      <c r="H42" s="11">
        <f>'Source Data'!I5/SUM('Source Data'!$C5:$U5)</f>
        <v>5.2476003852668637E-2</v>
      </c>
      <c r="I42" s="11">
        <f>'Source Data'!J5/SUM('Source Data'!$C5:$U5)</f>
        <v>4.8656547876050352E-2</v>
      </c>
      <c r="J42" s="11">
        <f>'Source Data'!K5/SUM('Source Data'!$C5:$U5)</f>
        <v>4.3873924740110933E-2</v>
      </c>
      <c r="K42" s="11">
        <f>'Source Data'!L5/SUM('Source Data'!$C5:$U5)</f>
        <v>3.741406224052609E-2</v>
      </c>
      <c r="L42" s="11">
        <f>'Source Data'!M5/SUM('Source Data'!$C5:$U5)</f>
        <v>3.8310804078514726E-2</v>
      </c>
      <c r="M42" s="11">
        <f>'Source Data'!N5/SUM('Source Data'!$C5:$U5)</f>
        <v>3.1933973230595505E-2</v>
      </c>
      <c r="N42" s="11">
        <f>'Source Data'!O5/SUM('Source Data'!$C5:$U5)</f>
        <v>3.0871168089275633E-2</v>
      </c>
      <c r="O42" s="11">
        <f>'Source Data'!P5/SUM('Source Data'!$C5:$U5)</f>
        <v>2.2119632003719816E-2</v>
      </c>
      <c r="P42" s="11">
        <f>'Source Data'!Q5/SUM('Source Data'!$C5:$U5)</f>
        <v>2.3282075127038428E-2</v>
      </c>
      <c r="Q42" s="11">
        <f>'Source Data'!R5/SUM('Source Data'!$C5:$U5)</f>
        <v>2.0292935667076288E-2</v>
      </c>
      <c r="R42" s="11">
        <f>'Source Data'!S5/SUM('Source Data'!$C5:$U5)</f>
        <v>4.3973562722109671E-2</v>
      </c>
      <c r="S42" s="11">
        <f>'Source Data'!T5/SUM('Source Data'!$C5:$U5)</f>
        <v>3.0140489554618219E-2</v>
      </c>
      <c r="T42" s="11">
        <f>'Source Data'!U5/SUM('Source Data'!$C5:$U5)</f>
        <v>0.10847254973595935</v>
      </c>
    </row>
    <row r="43" spans="1:20" ht="19.05" customHeight="1">
      <c r="A43" s="1" t="s">
        <v>22</v>
      </c>
      <c r="B43" s="11">
        <f>'Source Data'!C6/SUM('Source Data'!$C6:$U6)</f>
        <v>0.17240036083319665</v>
      </c>
      <c r="C43" s="11">
        <f>'Source Data'!D6/SUM('Source Data'!$C6:$U6)</f>
        <v>2.2582827620141053E-2</v>
      </c>
      <c r="D43" s="11">
        <f>'Source Data'!E6/SUM('Source Data'!$C6:$U6)</f>
        <v>5.4104477611940295E-2</v>
      </c>
      <c r="E43" s="11">
        <f>'Source Data'!F6/SUM('Source Data'!$C6:$U6)</f>
        <v>5.3509922912907987E-2</v>
      </c>
      <c r="F43" s="11">
        <f>'Source Data'!G6/SUM('Source Data'!$C6:$U6)</f>
        <v>5.6533951123503359E-2</v>
      </c>
      <c r="G43" s="11">
        <f>'Source Data'!H6/SUM('Source Data'!$C6:$U6)</f>
        <v>4.7892406101361328E-2</v>
      </c>
      <c r="H43" s="11">
        <f>'Source Data'!I6/SUM('Source Data'!$C6:$U6)</f>
        <v>5.1767262588158114E-2</v>
      </c>
      <c r="I43" s="11">
        <f>'Source Data'!J6/SUM('Source Data'!$C6:$U6)</f>
        <v>3.9958176152206003E-2</v>
      </c>
      <c r="J43" s="11">
        <f>'Source Data'!K6/SUM('Source Data'!$C6:$U6)</f>
        <v>4.3576759061833691E-2</v>
      </c>
      <c r="K43" s="11">
        <f>'Source Data'!L6/SUM('Source Data'!$C6:$U6)</f>
        <v>3.4443168771526977E-2</v>
      </c>
      <c r="L43" s="11">
        <f>'Source Data'!M6/SUM('Source Data'!$C6:$U6)</f>
        <v>3.80515007380679E-2</v>
      </c>
      <c r="M43" s="11">
        <f>'Source Data'!N6/SUM('Source Data'!$C6:$U6)</f>
        <v>3.3479580121371165E-2</v>
      </c>
      <c r="N43" s="11">
        <f>'Source Data'!O6/SUM('Source Data'!$C6:$U6)</f>
        <v>2.7523782187961292E-2</v>
      </c>
      <c r="O43" s="11">
        <f>'Source Data'!P6/SUM('Source Data'!$C6:$U6)</f>
        <v>2.689847465966869E-2</v>
      </c>
      <c r="P43" s="11">
        <f>'Source Data'!Q6/SUM('Source Data'!$C6:$U6)</f>
        <v>2.5781121863211416E-2</v>
      </c>
      <c r="Q43" s="11">
        <f>'Source Data'!R6/SUM('Source Data'!$C6:$U6)</f>
        <v>1.9804822043628014E-2</v>
      </c>
      <c r="R43" s="11">
        <f>'Source Data'!S6/SUM('Source Data'!$C6:$U6)</f>
        <v>4.1577825159914712E-2</v>
      </c>
      <c r="S43" s="11">
        <f>'Source Data'!T6/SUM('Source Data'!$C6:$U6)</f>
        <v>3.4125389535837297E-2</v>
      </c>
      <c r="T43" s="11">
        <f>'Source Data'!U6/SUM('Source Data'!$C6:$U6)</f>
        <v>0.17598819091356405</v>
      </c>
    </row>
    <row r="44" spans="1:20" ht="19.05" customHeight="1">
      <c r="A44" s="1" t="s">
        <v>23</v>
      </c>
      <c r="B44" s="11">
        <f>'Source Data'!C7/SUM('Source Data'!$C7:$U7)</f>
        <v>0.14983868228901343</v>
      </c>
      <c r="C44" s="11">
        <f>'Source Data'!D7/SUM('Source Data'!$C7:$U7)</f>
        <v>1.7252504669723213E-2</v>
      </c>
      <c r="D44" s="11">
        <f>'Source Data'!E7/SUM('Source Data'!$C7:$U7)</f>
        <v>3.3384275768381731E-2</v>
      </c>
      <c r="E44" s="11">
        <f>'Source Data'!F7/SUM('Source Data'!$C7:$U7)</f>
        <v>3.0905077262693158E-2</v>
      </c>
      <c r="F44" s="11">
        <f>'Source Data'!G7/SUM('Source Data'!$C7:$U7)</f>
        <v>4.2519952453727292E-2</v>
      </c>
      <c r="G44" s="11">
        <f>'Source Data'!H7/SUM('Source Data'!$C7:$U7)</f>
        <v>3.3384275768381731E-2</v>
      </c>
      <c r="H44" s="11">
        <f>'Source Data'!I7/SUM('Source Data'!$C7:$U7)</f>
        <v>4.1840719986415351E-2</v>
      </c>
      <c r="I44" s="11">
        <f>'Source Data'!J7/SUM('Source Data'!$C7:$U7)</f>
        <v>4.3742570894888776E-2</v>
      </c>
      <c r="J44" s="11">
        <f>'Source Data'!K7/SUM('Source Data'!$C7:$U7)</f>
        <v>3.725590083205977E-2</v>
      </c>
      <c r="K44" s="11">
        <f>'Source Data'!L7/SUM('Source Data'!$C7:$U7)</f>
        <v>3.5320088300220751E-2</v>
      </c>
      <c r="L44" s="11">
        <f>'Source Data'!M7/SUM('Source Data'!$C7:$U7)</f>
        <v>3.3486160638478521E-2</v>
      </c>
      <c r="M44" s="11">
        <f>'Source Data'!N7/SUM('Source Data'!$C7:$U7)</f>
        <v>3.205977245712345E-2</v>
      </c>
      <c r="N44" s="11">
        <f>'Source Data'!O7/SUM('Source Data'!$C7:$U7)</f>
        <v>3.2942774664628971E-2</v>
      </c>
      <c r="O44" s="11">
        <f>'Source Data'!P7/SUM('Source Data'!$C7:$U7)</f>
        <v>3.0293768042112413E-2</v>
      </c>
      <c r="P44" s="11">
        <f>'Source Data'!Q7/SUM('Source Data'!$C7:$U7)</f>
        <v>2.9274919341144508E-2</v>
      </c>
      <c r="Q44" s="11">
        <f>'Source Data'!R7/SUM('Source Data'!$C7:$U7)</f>
        <v>2.6388181355068773E-2</v>
      </c>
      <c r="R44" s="11">
        <f>'Source Data'!S7/SUM('Source Data'!$C7:$U7)</f>
        <v>6.2998811343182207E-2</v>
      </c>
      <c r="S44" s="11">
        <f>'Source Data'!T7/SUM('Source Data'!$C7:$U7)</f>
        <v>5.291220920359993E-2</v>
      </c>
      <c r="T44" s="11">
        <f>'Source Data'!U7/SUM('Source Data'!$C7:$U7)</f>
        <v>0.23419935472915607</v>
      </c>
    </row>
    <row r="45" spans="1:20" ht="19.05" customHeight="1">
      <c r="A45" s="1" t="s">
        <v>24</v>
      </c>
      <c r="B45" s="11">
        <f>'Source Data'!C8/SUM('Source Data'!$C8:$U8)</f>
        <v>0.1101902499217268</v>
      </c>
      <c r="C45" s="11">
        <f>'Source Data'!D8/SUM('Source Data'!$C8:$U8)</f>
        <v>1.5599388548170249E-2</v>
      </c>
      <c r="D45" s="11">
        <f>'Source Data'!E8/SUM('Source Data'!$C8:$U8)</f>
        <v>6.1292520765419821E-2</v>
      </c>
      <c r="E45" s="11">
        <f>'Source Data'!F8/SUM('Source Data'!$C8:$U8)</f>
        <v>5.5362174705784847E-2</v>
      </c>
      <c r="F45" s="11">
        <f>'Source Data'!G8/SUM('Source Data'!$C8:$U8)</f>
        <v>5.8198427169088532E-2</v>
      </c>
      <c r="G45" s="11">
        <f>'Source Data'!H8/SUM('Source Data'!$C8:$U8)</f>
        <v>5.8272096064239276E-2</v>
      </c>
      <c r="H45" s="11">
        <f>'Source Data'!I8/SUM('Source Data'!$C8:$U8)</f>
        <v>5.934029504392508E-2</v>
      </c>
      <c r="I45" s="11">
        <f>'Source Data'!J8/SUM('Source Data'!$C8:$U8)</f>
        <v>4.9173987513122269E-2</v>
      </c>
      <c r="J45" s="11">
        <f>'Source Data'!K8/SUM('Source Data'!$C8:$U8)</f>
        <v>5.1255133801130816E-2</v>
      </c>
      <c r="K45" s="11">
        <f>'Source Data'!L8/SUM('Source Data'!$C8:$U8)</f>
        <v>5.0665782639924856E-2</v>
      </c>
      <c r="L45" s="11">
        <f>'Source Data'!M8/SUM('Source Data'!$C8:$U8)</f>
        <v>4.3667237600604085E-2</v>
      </c>
      <c r="M45" s="11">
        <f>'Source Data'!N8/SUM('Source Data'!$C8:$U8)</f>
        <v>3.7147540379763151E-2</v>
      </c>
      <c r="N45" s="11">
        <f>'Source Data'!O8/SUM('Source Data'!$C8:$U8)</f>
        <v>4.046264066154668E-2</v>
      </c>
      <c r="O45" s="11">
        <f>'Source Data'!P8/SUM('Source Data'!$C8:$U8)</f>
        <v>2.8159935171372268E-2</v>
      </c>
      <c r="P45" s="11">
        <f>'Source Data'!Q8/SUM('Source Data'!$C8:$U8)</f>
        <v>2.8436193528187562E-2</v>
      </c>
      <c r="Q45" s="11">
        <f>'Source Data'!R8/SUM('Source Data'!$C8:$U8)</f>
        <v>2.8233604066523012E-2</v>
      </c>
      <c r="R45" s="11">
        <f>'Source Data'!S8/SUM('Source Data'!$C8:$U8)</f>
        <v>5.4386061845037477E-2</v>
      </c>
      <c r="S45" s="11">
        <f>'Source Data'!T8/SUM('Source Data'!$C8:$U8)</f>
        <v>3.8620918282778055E-2</v>
      </c>
      <c r="T45" s="11">
        <f>'Source Data'!U8/SUM('Source Data'!$C8:$U8)</f>
        <v>0.13153581229165515</v>
      </c>
    </row>
    <row r="46" spans="1:20" ht="19.05" customHeight="1">
      <c r="A46" s="1" t="s">
        <v>25</v>
      </c>
      <c r="B46" s="11">
        <f>'Source Data'!C9/SUM('Source Data'!$C9:$U9)</f>
        <v>0.2084457026080839</v>
      </c>
      <c r="C46" s="11">
        <f>'Source Data'!D9/SUM('Source Data'!$C9:$U9)</f>
        <v>3.1809578049883581E-2</v>
      </c>
      <c r="D46" s="11">
        <f>'Source Data'!E9/SUM('Source Data'!$C9:$U9)</f>
        <v>7.6768455082999718E-2</v>
      </c>
      <c r="E46" s="11">
        <f>'Source Data'!F9/SUM('Source Data'!$C9:$U9)</f>
        <v>5.8024422519640198E-2</v>
      </c>
      <c r="F46" s="11">
        <f>'Source Data'!G9/SUM('Source Data'!$C9:$U9)</f>
        <v>5.8007671820298499E-2</v>
      </c>
      <c r="G46" s="11">
        <f>'Source Data'!H9/SUM('Source Data'!$C9:$U9)</f>
        <v>3.9179885760230487E-2</v>
      </c>
      <c r="H46" s="11">
        <f>'Source Data'!I9/SUM('Source Data'!$C9:$U9)</f>
        <v>4.2563527027253391E-2</v>
      </c>
      <c r="I46" s="11">
        <f>'Source Data'!J9/SUM('Source Data'!$C9:$U9)</f>
        <v>3.6918541349101323E-2</v>
      </c>
      <c r="J46" s="11">
        <f>'Source Data'!K9/SUM('Source Data'!$C9:$U9)</f>
        <v>3.7488065126719039E-2</v>
      </c>
      <c r="K46" s="11">
        <f>'Source Data'!L9/SUM('Source Data'!$C9:$U9)</f>
        <v>3.0620278396623058E-2</v>
      </c>
      <c r="L46" s="11">
        <f>'Source Data'!M9/SUM('Source Data'!$C9:$U9)</f>
        <v>3.0168009514397225E-2</v>
      </c>
      <c r="M46" s="11">
        <f>'Source Data'!N9/SUM('Source Data'!$C9:$U9)</f>
        <v>3.3183135395902778E-2</v>
      </c>
      <c r="N46" s="11">
        <f>'Source Data'!O9/SUM('Source Data'!$C9:$U9)</f>
        <v>2.8543191678252568E-2</v>
      </c>
      <c r="O46" s="11">
        <f>'Source Data'!P9/SUM('Source Data'!$C9:$U9)</f>
        <v>2.6198093770414915E-2</v>
      </c>
      <c r="P46" s="11">
        <f>'Source Data'!Q9/SUM('Source Data'!$C9:$U9)</f>
        <v>2.2445937117874671E-2</v>
      </c>
      <c r="Q46" s="11">
        <f>'Source Data'!R9/SUM('Source Data'!$C9:$U9)</f>
        <v>2.2244928725774302E-2</v>
      </c>
      <c r="R46" s="11">
        <f>'Source Data'!S9/SUM('Source Data'!$C9:$U9)</f>
        <v>5.3434730900015076E-2</v>
      </c>
      <c r="S46" s="11">
        <f>'Source Data'!T9/SUM('Source Data'!$C9:$U9)</f>
        <v>3.3400894487344845E-2</v>
      </c>
      <c r="T46" s="11">
        <f>'Source Data'!U9/SUM('Source Data'!$C9:$U9)</f>
        <v>0.13055495066919043</v>
      </c>
    </row>
    <row r="47" spans="1:20" ht="19.05" customHeight="1">
      <c r="A47" s="1" t="s">
        <v>26</v>
      </c>
      <c r="B47" s="11">
        <f>'Source Data'!C10/SUM('Source Data'!$C10:$U10)</f>
        <v>0.10070902457492945</v>
      </c>
      <c r="C47" s="11">
        <f>'Source Data'!D10/SUM('Source Data'!$C10:$U10)</f>
        <v>1.505243110529818E-2</v>
      </c>
      <c r="D47" s="11">
        <f>'Source Data'!E10/SUM('Source Data'!$C10:$U10)</f>
        <v>3.8181776462219777E-2</v>
      </c>
      <c r="E47" s="11">
        <f>'Source Data'!F10/SUM('Source Data'!$C10:$U10)</f>
        <v>5.5322273467795599E-2</v>
      </c>
      <c r="F47" s="11">
        <f>'Source Data'!G10/SUM('Source Data'!$C10:$U10)</f>
        <v>5.8787086115509049E-2</v>
      </c>
      <c r="G47" s="11">
        <f>'Source Data'!H10/SUM('Source Data'!$C10:$U10)</f>
        <v>5.7272664693329665E-2</v>
      </c>
      <c r="H47" s="11">
        <f>'Source Data'!I10/SUM('Source Data'!$C10:$U10)</f>
        <v>6.0255615979440583E-2</v>
      </c>
      <c r="I47" s="11">
        <f>'Source Data'!J10/SUM('Source Data'!$C10:$U10)</f>
        <v>5.835111631215438E-2</v>
      </c>
      <c r="J47" s="11">
        <f>'Source Data'!K10/SUM('Source Data'!$C10:$U10)</f>
        <v>5.5941809504141717E-2</v>
      </c>
      <c r="K47" s="11">
        <f>'Source Data'!L10/SUM('Source Data'!$C10:$U10)</f>
        <v>5.8190495858286867E-2</v>
      </c>
      <c r="L47" s="11">
        <f>'Source Data'!M10/SUM('Source Data'!$C10:$U10)</f>
        <v>4.6786443633693581E-2</v>
      </c>
      <c r="M47" s="11">
        <f>'Source Data'!N10/SUM('Source Data'!$C10:$U10)</f>
        <v>3.9833872559142745E-2</v>
      </c>
      <c r="N47" s="11">
        <f>'Source Data'!O10/SUM('Source Data'!$C10:$U10)</f>
        <v>3.8227668020467634E-2</v>
      </c>
      <c r="O47" s="11">
        <f>'Source Data'!P10/SUM('Source Data'!$C10:$U10)</f>
        <v>3.8112939124847985E-2</v>
      </c>
      <c r="P47" s="11">
        <f>'Source Data'!Q10/SUM('Source Data'!$C10:$U10)</f>
        <v>2.5997567747412863E-2</v>
      </c>
      <c r="Q47" s="11">
        <f>'Source Data'!R10/SUM('Source Data'!$C10:$U10)</f>
        <v>2.6043459305660724E-2</v>
      </c>
      <c r="R47" s="11">
        <f>'Source Data'!S10/SUM('Source Data'!$C10:$U10)</f>
        <v>5.9062435464996212E-2</v>
      </c>
      <c r="S47" s="11">
        <f>'Source Data'!T10/SUM('Source Data'!$C10:$U10)</f>
        <v>4.3596980335467293E-2</v>
      </c>
      <c r="T47" s="11">
        <f>'Source Data'!U10/SUM('Source Data'!$C10:$U10)</f>
        <v>0.12427433973520571</v>
      </c>
    </row>
    <row r="48" spans="1:20" ht="19.05" customHeight="1">
      <c r="A48" s="1" t="s">
        <v>27</v>
      </c>
      <c r="B48" s="11">
        <f>'Source Data'!C11/SUM('Source Data'!$C11:$U11)</f>
        <v>0.15625888757973427</v>
      </c>
      <c r="C48" s="11">
        <f>'Source Data'!D11/SUM('Source Data'!$C11:$U11)</f>
        <v>1.1944907162881404E-2</v>
      </c>
      <c r="D48" s="11">
        <f>'Source Data'!E11/SUM('Source Data'!$C11:$U11)</f>
        <v>1.4788932677853167E-2</v>
      </c>
      <c r="E48" s="11">
        <f>'Source Data'!F11/SUM('Source Data'!$C11:$U11)</f>
        <v>1.8486165847316459E-2</v>
      </c>
      <c r="F48" s="11">
        <f>'Source Data'!G11/SUM('Source Data'!$C11:$U11)</f>
        <v>1.4179498638930647E-2</v>
      </c>
      <c r="G48" s="11">
        <f>'Source Data'!H11/SUM('Source Data'!$C11:$U11)</f>
        <v>1.9583147117376996E-2</v>
      </c>
      <c r="H48" s="11">
        <f>'Source Data'!I11/SUM('Source Data'!$C11:$U11)</f>
        <v>2.2427172632348759E-2</v>
      </c>
      <c r="I48" s="11">
        <f>'Source Data'!J11/SUM('Source Data'!$C11:$U11)</f>
        <v>1.97050339251615E-2</v>
      </c>
      <c r="J48" s="11">
        <f>'Source Data'!K11/SUM('Source Data'!$C11:$U11)</f>
        <v>2.5596229634745865E-2</v>
      </c>
      <c r="K48" s="11">
        <f>'Source Data'!L11/SUM('Source Data'!$C11:$U11)</f>
        <v>2.2792833055702271E-2</v>
      </c>
      <c r="L48" s="11">
        <f>'Source Data'!M11/SUM('Source Data'!$C11:$U11)</f>
        <v>2.0436354771868524E-2</v>
      </c>
      <c r="M48" s="11">
        <f>'Source Data'!N11/SUM('Source Data'!$C11:$U11)</f>
        <v>2.4783650916182506E-2</v>
      </c>
      <c r="N48" s="11">
        <f>'Source Data'!O11/SUM('Source Data'!$C11:$U11)</f>
        <v>2.1533336041929061E-2</v>
      </c>
      <c r="O48" s="11">
        <f>'Source Data'!P11/SUM('Source Data'!$C11:$U11)</f>
        <v>1.9664404989233331E-2</v>
      </c>
      <c r="P48" s="11">
        <f>'Source Data'!Q11/SUM('Source Data'!$C11:$U11)</f>
        <v>1.8648681591029132E-2</v>
      </c>
      <c r="Q48" s="11">
        <f>'Source Data'!R11/SUM('Source Data'!$C11:$U11)</f>
        <v>1.9095599886238979E-2</v>
      </c>
      <c r="R48" s="11">
        <f>'Source Data'!S11/SUM('Source Data'!$C11:$U11)</f>
        <v>5.0704912038353714E-2</v>
      </c>
      <c r="S48" s="11">
        <f>'Source Data'!T11/SUM('Source Data'!$C11:$U11)</f>
        <v>4.4529313777272171E-2</v>
      </c>
      <c r="T48" s="11">
        <f>'Source Data'!U11/SUM('Source Data'!$C11:$U11)</f>
        <v>0.45484093771584122</v>
      </c>
    </row>
    <row r="49" spans="1:20" ht="19.05" customHeight="1">
      <c r="A49" s="1" t="s">
        <v>28</v>
      </c>
      <c r="B49" s="11">
        <f>'Source Data'!C12/SUM('Source Data'!$C12:$U12)</f>
        <v>7.6917773986177898E-2</v>
      </c>
      <c r="C49" s="11">
        <f>'Source Data'!D12/SUM('Source Data'!$C12:$U12)</f>
        <v>1.5390448615204316E-2</v>
      </c>
      <c r="D49" s="11">
        <f>'Source Data'!E12/SUM('Source Data'!$C12:$U12)</f>
        <v>3.5589335263602362E-2</v>
      </c>
      <c r="E49" s="11">
        <f>'Source Data'!F12/SUM('Source Data'!$C12:$U12)</f>
        <v>4.7843096703031558E-2</v>
      </c>
      <c r="F49" s="11">
        <f>'Source Data'!G12/SUM('Source Data'!$C12:$U12)</f>
        <v>4.9290798476466231E-2</v>
      </c>
      <c r="G49" s="11">
        <f>'Source Data'!H12/SUM('Source Data'!$C12:$U12)</f>
        <v>5.2858349275287389E-2</v>
      </c>
      <c r="H49" s="11">
        <f>'Source Data'!I12/SUM('Source Data'!$C12:$U12)</f>
        <v>5.7322096410044293E-2</v>
      </c>
      <c r="I49" s="11">
        <f>'Source Data'!J12/SUM('Source Data'!$C12:$U12)</f>
        <v>5.7908070937386896E-2</v>
      </c>
      <c r="J49" s="11">
        <f>'Source Data'!K12/SUM('Source Data'!$C12:$U12)</f>
        <v>5.9476414525274461E-2</v>
      </c>
      <c r="K49" s="11">
        <f>'Source Data'!L12/SUM('Source Data'!$C12:$U12)</f>
        <v>5.6201850990124605E-2</v>
      </c>
      <c r="L49" s="11">
        <f>'Source Data'!M12/SUM('Source Data'!$C12:$U12)</f>
        <v>5.3340916533098942E-2</v>
      </c>
      <c r="M49" s="11">
        <f>'Source Data'!N12/SUM('Source Data'!$C12:$U12)</f>
        <v>4.861865122451442E-2</v>
      </c>
      <c r="N49" s="11">
        <f>'Source Data'!O12/SUM('Source Data'!$C12:$U12)</f>
        <v>4.4482360443272494E-2</v>
      </c>
      <c r="O49" s="11">
        <f>'Source Data'!P12/SUM('Source Data'!$C12:$U12)</f>
        <v>3.729555521086466E-2</v>
      </c>
      <c r="P49" s="11">
        <f>'Source Data'!Q12/SUM('Source Data'!$C12:$U12)</f>
        <v>3.5761680712820779E-2</v>
      </c>
      <c r="Q49" s="11">
        <f>'Source Data'!R12/SUM('Source Data'!$C12:$U12)</f>
        <v>3.7519604294848595E-2</v>
      </c>
      <c r="R49" s="11">
        <f>'Source Data'!S12/SUM('Source Data'!$C12:$U12)</f>
        <v>6.9834376023301101E-2</v>
      </c>
      <c r="S49" s="11">
        <f>'Source Data'!T12/SUM('Source Data'!$C12:$U12)</f>
        <v>5.0807438429588264E-2</v>
      </c>
      <c r="T49" s="11">
        <f>'Source Data'!U12/SUM('Source Data'!$C12:$U12)</f>
        <v>0.11354118194509075</v>
      </c>
    </row>
    <row r="50" spans="1:20" ht="19.05" customHeight="1">
      <c r="A50" s="1" t="s">
        <v>29</v>
      </c>
      <c r="B50" s="11">
        <f>'Source Data'!C13/SUM('Source Data'!$C13:$U13)</f>
        <v>0.17823137348250417</v>
      </c>
      <c r="C50" s="11">
        <f>'Source Data'!D13/SUM('Source Data'!$C13:$U13)</f>
        <v>2.3922875505831945E-2</v>
      </c>
      <c r="D50" s="11">
        <f>'Source Data'!E13/SUM('Source Data'!$C13:$U13)</f>
        <v>4.9273982385146395E-2</v>
      </c>
      <c r="E50" s="11">
        <f>'Source Data'!F13/SUM('Source Data'!$C13:$U13)</f>
        <v>4.4870268983575337E-2</v>
      </c>
      <c r="F50" s="11">
        <f>'Source Data'!G13/SUM('Source Data'!$C13:$U13)</f>
        <v>4.6060461794810763E-2</v>
      </c>
      <c r="G50" s="11">
        <f>'Source Data'!H13/SUM('Source Data'!$C13:$U13)</f>
        <v>4.222208997857653E-2</v>
      </c>
      <c r="H50" s="11">
        <f>'Source Data'!I13/SUM('Source Data'!$C13:$U13)</f>
        <v>4.7399428707450605E-2</v>
      </c>
      <c r="I50" s="11">
        <f>'Source Data'!J13/SUM('Source Data'!$C13:$U13)</f>
        <v>4.5673649131159247E-2</v>
      </c>
      <c r="J50" s="11">
        <f>'Source Data'!K13/SUM('Source Data'!$C13:$U13)</f>
        <v>4.0526065222566056E-2</v>
      </c>
      <c r="K50" s="11">
        <f>'Source Data'!L13/SUM('Source Data'!$C13:$U13)</f>
        <v>3.615210664127589E-2</v>
      </c>
      <c r="L50" s="11">
        <f>'Source Data'!M13/SUM('Source Data'!$C13:$U13)</f>
        <v>3.2879076410378481E-2</v>
      </c>
      <c r="M50" s="11">
        <f>'Source Data'!N13/SUM('Source Data'!$C13:$U13)</f>
        <v>3.5527255415377289E-2</v>
      </c>
      <c r="N50" s="11">
        <f>'Source Data'!O13/SUM('Source Data'!$C13:$U13)</f>
        <v>2.9754820280885504E-2</v>
      </c>
      <c r="O50" s="11">
        <f>'Source Data'!P13/SUM('Source Data'!$C13:$U13)</f>
        <v>2.7225660557010235E-2</v>
      </c>
      <c r="P50" s="11">
        <f>'Source Data'!Q13/SUM('Source Data'!$C13:$U13)</f>
        <v>2.7285170197572008E-2</v>
      </c>
      <c r="Q50" s="11">
        <f>'Source Data'!R13/SUM('Source Data'!$C13:$U13)</f>
        <v>2.1334206141394908E-2</v>
      </c>
      <c r="R50" s="11">
        <f>'Source Data'!S13/SUM('Source Data'!$C13:$U13)</f>
        <v>5.2130445132111403E-2</v>
      </c>
      <c r="S50" s="11">
        <f>'Source Data'!T13/SUM('Source Data'!$C13:$U13)</f>
        <v>3.9663175434420377E-2</v>
      </c>
      <c r="T50" s="11">
        <f>'Source Data'!U13/SUM('Source Data'!$C13:$U13)</f>
        <v>0.17986788859795286</v>
      </c>
    </row>
    <row r="51" spans="1:20" ht="19.05" customHeight="1">
      <c r="A51" s="1" t="s">
        <v>30</v>
      </c>
      <c r="B51" s="11">
        <f>'Source Data'!C14/SUM('Source Data'!$C14:$U14)</f>
        <v>0.11312217194570136</v>
      </c>
      <c r="C51" s="11">
        <f>'Source Data'!D14/SUM('Source Data'!$C14:$U14)</f>
        <v>1.3574660633484163E-2</v>
      </c>
      <c r="D51" s="11">
        <f>'Source Data'!E14/SUM('Source Data'!$C14:$U14)</f>
        <v>1.4221073044602456E-2</v>
      </c>
      <c r="E51" s="11">
        <f>'Source Data'!F14/SUM('Source Data'!$C14:$U14)</f>
        <v>2.068519715578539E-2</v>
      </c>
      <c r="F51" s="11">
        <f>'Source Data'!G14/SUM('Source Data'!$C14:$U14)</f>
        <v>1.6160310277957338E-2</v>
      </c>
      <c r="G51" s="11">
        <f>'Source Data'!H14/SUM('Source Data'!$C14:$U14)</f>
        <v>3.0381383322559793E-2</v>
      </c>
      <c r="H51" s="11">
        <f>'Source Data'!I14/SUM('Source Data'!$C14:$U14)</f>
        <v>3.1027795733678087E-2</v>
      </c>
      <c r="I51" s="11">
        <f>'Source Data'!J14/SUM('Source Data'!$C14:$U14)</f>
        <v>2.9088558500323207E-2</v>
      </c>
      <c r="J51" s="11">
        <f>'Source Data'!K14/SUM('Source Data'!$C14:$U14)</f>
        <v>1.2928248222365869E-2</v>
      </c>
      <c r="K51" s="11">
        <f>'Source Data'!L14/SUM('Source Data'!$C14:$U14)</f>
        <v>3.1674208144796379E-2</v>
      </c>
      <c r="L51" s="11">
        <f>'Source Data'!M14/SUM('Source Data'!$C14:$U14)</f>
        <v>3.0381383322559793E-2</v>
      </c>
      <c r="M51" s="11">
        <f>'Source Data'!N14/SUM('Source Data'!$C14:$U14)</f>
        <v>3.4259857789269557E-2</v>
      </c>
      <c r="N51" s="11">
        <f>'Source Data'!O14/SUM('Source Data'!$C14:$U14)</f>
        <v>3.0381383322559793E-2</v>
      </c>
      <c r="O51" s="11">
        <f>'Source Data'!P14/SUM('Source Data'!$C14:$U14)</f>
        <v>3.1674208144796379E-2</v>
      </c>
      <c r="P51" s="11">
        <f>'Source Data'!Q14/SUM('Source Data'!$C14:$U14)</f>
        <v>3.0381383322559793E-2</v>
      </c>
      <c r="Q51" s="11">
        <f>'Source Data'!R14/SUM('Source Data'!$C14:$U14)</f>
        <v>1.0342598577892695E-2</v>
      </c>
      <c r="R51" s="11">
        <f>'Source Data'!S14/SUM('Source Data'!$C14:$U14)</f>
        <v>6.5934065934065936E-2</v>
      </c>
      <c r="S51" s="11">
        <f>'Source Data'!T14/SUM('Source Data'!$C14:$U14)</f>
        <v>4.5248868778280542E-2</v>
      </c>
      <c r="T51" s="11">
        <f>'Source Data'!U14/SUM('Source Data'!$C14:$U14)</f>
        <v>0.40853264382676147</v>
      </c>
    </row>
    <row r="52" spans="1:20" ht="19.05" customHeight="1">
      <c r="A52" s="1" t="s">
        <v>31</v>
      </c>
      <c r="B52" s="11">
        <f>'Source Data'!C15/SUM('Source Data'!$C15:$U15)</f>
        <v>0.16622678745512043</v>
      </c>
      <c r="C52" s="11">
        <f>'Source Data'!D15/SUM('Source Data'!$C15:$U15)</f>
        <v>2.4490572318520105E-2</v>
      </c>
      <c r="D52" s="11">
        <f>'Source Data'!E15/SUM('Source Data'!$C15:$U15)</f>
        <v>6.7194521720522149E-2</v>
      </c>
      <c r="E52" s="11">
        <f>'Source Data'!F15/SUM('Source Data'!$C15:$U15)</f>
        <v>6.7741398578120171E-2</v>
      </c>
      <c r="F52" s="11">
        <f>'Source Data'!G15/SUM('Source Data'!$C15:$U15)</f>
        <v>6.3509047245405043E-2</v>
      </c>
      <c r="G52" s="11">
        <f>'Source Data'!H15/SUM('Source Data'!$C15:$U15)</f>
        <v>5.6661197898090689E-2</v>
      </c>
      <c r="H52" s="11">
        <f>'Source Data'!I15/SUM('Source Data'!$C15:$U15)</f>
        <v>5.6161875549849014E-2</v>
      </c>
      <c r="I52" s="11">
        <f>'Source Data'!J15/SUM('Source Data'!$C15:$U15)</f>
        <v>5.0241339134983472E-2</v>
      </c>
      <c r="J52" s="11">
        <f>'Source Data'!K15/SUM('Source Data'!$C15:$U15)</f>
        <v>3.9280024728344867E-2</v>
      </c>
      <c r="K52" s="11">
        <f>'Source Data'!L15/SUM('Source Data'!$C15:$U15)</f>
        <v>3.856670708799962E-2</v>
      </c>
      <c r="L52" s="11">
        <f>'Source Data'!M15/SUM('Source Data'!$C15:$U15)</f>
        <v>3.8424043559930572E-2</v>
      </c>
      <c r="M52" s="11">
        <f>'Source Data'!N15/SUM('Source Data'!$C15:$U15)</f>
        <v>3.7710725919585325E-2</v>
      </c>
      <c r="N52" s="11">
        <f>'Source Data'!O15/SUM('Source Data'!$C15:$U15)</f>
        <v>3.3240602040088454E-2</v>
      </c>
      <c r="O52" s="11">
        <f>'Source Data'!P15/SUM('Source Data'!$C15:$U15)</f>
        <v>2.5108780940152651E-2</v>
      </c>
      <c r="P52" s="11">
        <f>'Source Data'!Q15/SUM('Source Data'!$C15:$U15)</f>
        <v>2.1922628813277219E-2</v>
      </c>
      <c r="Q52" s="11">
        <f>'Source Data'!R15/SUM('Source Data'!$C15:$U15)</f>
        <v>2.2683500962978814E-2</v>
      </c>
      <c r="R52" s="11">
        <f>'Source Data'!S15/SUM('Source Data'!$C15:$U15)</f>
        <v>4.1943077252300447E-2</v>
      </c>
      <c r="S52" s="11">
        <f>'Source Data'!T15/SUM('Source Data'!$C15:$U15)</f>
        <v>3.1290867156478115E-2</v>
      </c>
      <c r="T52" s="11">
        <f>'Source Data'!U15/SUM('Source Data'!$C15:$U15)</f>
        <v>0.11760230163825285</v>
      </c>
    </row>
    <row r="53" spans="1:20" ht="19.05" customHeight="1">
      <c r="A53" s="1" t="s">
        <v>32</v>
      </c>
      <c r="B53" s="11">
        <f>'Source Data'!C16/SUM('Source Data'!$C16:$U16)</f>
        <v>0.11320428160613484</v>
      </c>
      <c r="C53" s="11">
        <f>'Source Data'!D16/SUM('Source Data'!$C16:$U16)</f>
        <v>1.9637341569922251E-2</v>
      </c>
      <c r="D53" s="11">
        <f>'Source Data'!E16/SUM('Source Data'!$C16:$U16)</f>
        <v>5.3147300031952283E-2</v>
      </c>
      <c r="E53" s="11">
        <f>'Source Data'!F16/SUM('Source Data'!$C16:$U16)</f>
        <v>5.9364682074768346E-2</v>
      </c>
      <c r="F53" s="11">
        <f>'Source Data'!G16/SUM('Source Data'!$C16:$U16)</f>
        <v>5.7327723932261154E-2</v>
      </c>
      <c r="G53" s="11">
        <f>'Source Data'!H16/SUM('Source Data'!$C16:$U16)</f>
        <v>5.3773032271807436E-2</v>
      </c>
      <c r="H53" s="11">
        <f>'Source Data'!I16/SUM('Source Data'!$C16:$U16)</f>
        <v>5.5104377462988602E-2</v>
      </c>
      <c r="I53" s="11">
        <f>'Source Data'!J16/SUM('Source Data'!$C16:$U16)</f>
        <v>5.2015656619448292E-2</v>
      </c>
      <c r="J53" s="11">
        <f>'Source Data'!K16/SUM('Source Data'!$C16:$U16)</f>
        <v>4.618436468207477E-2</v>
      </c>
      <c r="K53" s="11">
        <f>'Source Data'!L16/SUM('Source Data'!$C16:$U16)</f>
        <v>5.5210885078283096E-2</v>
      </c>
      <c r="L53" s="11">
        <f>'Source Data'!M16/SUM('Source Data'!$C16:$U16)</f>
        <v>4.6131110874427519E-2</v>
      </c>
      <c r="M53" s="11">
        <f>'Source Data'!N16/SUM('Source Data'!$C16:$U16)</f>
        <v>4.068590904249654E-2</v>
      </c>
      <c r="N53" s="11">
        <f>'Source Data'!O16/SUM('Source Data'!$C16:$U16)</f>
        <v>3.0740760464373202E-2</v>
      </c>
      <c r="O53" s="11">
        <f>'Source Data'!P16/SUM('Source Data'!$C16:$U16)</f>
        <v>3.3975929278943447E-2</v>
      </c>
      <c r="P53" s="11">
        <f>'Source Data'!Q16/SUM('Source Data'!$C16:$U16)</f>
        <v>3.3097241452763874E-2</v>
      </c>
      <c r="Q53" s="11">
        <f>'Source Data'!R16/SUM('Source Data'!$C16:$U16)</f>
        <v>2.8344339120247097E-2</v>
      </c>
      <c r="R53" s="11">
        <f>'Source Data'!S16/SUM('Source Data'!$C16:$U16)</f>
        <v>5.2388433272979019E-2</v>
      </c>
      <c r="S53" s="11">
        <f>'Source Data'!T16/SUM('Source Data'!$C16:$U16)</f>
        <v>4.1458089253381618E-2</v>
      </c>
      <c r="T53" s="11">
        <f>'Source Data'!U16/SUM('Source Data'!$C16:$U16)</f>
        <v>0.12820854191074663</v>
      </c>
    </row>
    <row r="54" spans="1:20" ht="19.05" customHeight="1">
      <c r="A54" s="1" t="s">
        <v>33</v>
      </c>
      <c r="B54" s="11">
        <f>'Source Data'!C17/SUM('Source Data'!$C17:$U17)</f>
        <v>0.15639584022342262</v>
      </c>
      <c r="C54" s="11">
        <f>'Source Data'!D17/SUM('Source Data'!$C17:$U17)</f>
        <v>2.0210928600301326E-2</v>
      </c>
      <c r="D54" s="11">
        <f>'Source Data'!E17/SUM('Source Data'!$C17:$U17)</f>
        <v>6.033880865762687E-2</v>
      </c>
      <c r="E54" s="11">
        <f>'Source Data'!F17/SUM('Source Data'!$C17:$U17)</f>
        <v>4.8102010068717158E-2</v>
      </c>
      <c r="F54" s="11">
        <f>'Source Data'!G17/SUM('Source Data'!$C17:$U17)</f>
        <v>6.4050270091500383E-2</v>
      </c>
      <c r="G54" s="11">
        <f>'Source Data'!H17/SUM('Source Data'!$C17:$U17)</f>
        <v>6.0081578657259396E-2</v>
      </c>
      <c r="H54" s="11">
        <f>'Source Data'!I17/SUM('Source Data'!$C17:$U17)</f>
        <v>6.3829787234042548E-2</v>
      </c>
      <c r="I54" s="11">
        <f>'Source Data'!J17/SUM('Source Data'!$C17:$U17)</f>
        <v>5.8464704369235294E-2</v>
      </c>
      <c r="J54" s="11">
        <f>'Source Data'!K17/SUM('Source Data'!$C17:$U17)</f>
        <v>5.1556241502223203E-2</v>
      </c>
      <c r="K54" s="11">
        <f>'Source Data'!L17/SUM('Source Data'!$C17:$U17)</f>
        <v>4.4941755778488225E-2</v>
      </c>
      <c r="L54" s="11">
        <f>'Source Data'!M17/SUM('Source Data'!$C17:$U17)</f>
        <v>3.9429684342042408E-2</v>
      </c>
      <c r="M54" s="11">
        <f>'Source Data'!N17/SUM('Source Data'!$C17:$U17)</f>
        <v>3.7151361481644801E-2</v>
      </c>
      <c r="N54" s="11">
        <f>'Source Data'!O17/SUM('Source Data'!$C17:$U17)</f>
        <v>3.4726050049608645E-2</v>
      </c>
      <c r="O54" s="11">
        <f>'Source Data'!P17/SUM('Source Data'!$C17:$U17)</f>
        <v>2.9838680042626686E-2</v>
      </c>
      <c r="P54" s="11">
        <f>'Source Data'!Q17/SUM('Source Data'!$C17:$U17)</f>
        <v>2.5282034321831477E-2</v>
      </c>
      <c r="Q54" s="11">
        <f>'Source Data'!R17/SUM('Source Data'!$C17:$U17)</f>
        <v>2.0541652886488074E-2</v>
      </c>
      <c r="R54" s="11">
        <f>'Source Data'!S17/SUM('Source Data'!$C17:$U17)</f>
        <v>5.1997207217138866E-2</v>
      </c>
      <c r="S54" s="11">
        <f>'Source Data'!T17/SUM('Source Data'!$C17:$U17)</f>
        <v>3.7004372910006245E-2</v>
      </c>
      <c r="T54" s="11">
        <f>'Source Data'!U17/SUM('Source Data'!$C17:$U17)</f>
        <v>9.6057031565795759E-2</v>
      </c>
    </row>
    <row r="55" spans="1:20" ht="19.05" customHeight="1">
      <c r="A55" s="1" t="s">
        <v>34</v>
      </c>
      <c r="B55" s="11">
        <f>'Source Data'!C18/SUM('Source Data'!$C18:$U18)</f>
        <v>9.6196948020982359E-2</v>
      </c>
      <c r="C55" s="11">
        <f>'Source Data'!D18/SUM('Source Data'!$C18:$U18)</f>
        <v>1.6678588459704338E-2</v>
      </c>
      <c r="D55" s="11">
        <f>'Source Data'!E18/SUM('Source Data'!$C18:$U18)</f>
        <v>5.3171196948020985E-2</v>
      </c>
      <c r="E55" s="11">
        <f>'Source Data'!F18/SUM('Source Data'!$C18:$U18)</f>
        <v>4.8187887458273723E-2</v>
      </c>
      <c r="F55" s="11">
        <f>'Source Data'!G18/SUM('Source Data'!$C18:$U18)</f>
        <v>5.5484024797329522E-2</v>
      </c>
      <c r="G55" s="11">
        <f>'Source Data'!H18/SUM('Source Data'!$C18:$U18)</f>
        <v>6.2804005722460657E-2</v>
      </c>
      <c r="H55" s="11">
        <f>'Source Data'!I18/SUM('Source Data'!$C18:$U18)</f>
        <v>6.2863614687649019E-2</v>
      </c>
      <c r="I55" s="11">
        <f>'Source Data'!J18/SUM('Source Data'!$C18:$U18)</f>
        <v>6.3769670958512159E-2</v>
      </c>
      <c r="J55" s="11">
        <f>'Source Data'!K18/SUM('Source Data'!$C18:$U18)</f>
        <v>5.7951835956127802E-2</v>
      </c>
      <c r="K55" s="11">
        <f>'Source Data'!L18/SUM('Source Data'!$C18:$U18)</f>
        <v>5.6068192656175492E-2</v>
      </c>
      <c r="L55" s="11">
        <f>'Source Data'!M18/SUM('Source Data'!$C18:$U18)</f>
        <v>5.15379113018598E-2</v>
      </c>
      <c r="M55" s="11">
        <f>'Source Data'!N18/SUM('Source Data'!$C18:$U18)</f>
        <v>4.9129709108249882E-2</v>
      </c>
      <c r="N55" s="11">
        <f>'Source Data'!O18/SUM('Source Data'!$C18:$U18)</f>
        <v>4.1893180734382453E-2</v>
      </c>
      <c r="O55" s="11">
        <f>'Source Data'!P18/SUM('Source Data'!$C18:$U18)</f>
        <v>3.8626609442060089E-2</v>
      </c>
      <c r="P55" s="11">
        <f>'Source Data'!Q18/SUM('Source Data'!$C18:$U18)</f>
        <v>3.5538865045302813E-2</v>
      </c>
      <c r="Q55" s="11">
        <f>'Source Data'!R18/SUM('Source Data'!$C18:$U18)</f>
        <v>3.1223175965665238E-2</v>
      </c>
      <c r="R55" s="11">
        <f>'Source Data'!S18/SUM('Source Data'!$C18:$U18)</f>
        <v>6.0205054840247976E-2</v>
      </c>
      <c r="S55" s="11">
        <f>'Source Data'!T18/SUM('Source Data'!$C18:$U18)</f>
        <v>3.6051502145922745E-2</v>
      </c>
      <c r="T55" s="11">
        <f>'Source Data'!U18/SUM('Source Data'!$C18:$U18)</f>
        <v>8.2618025751072965E-2</v>
      </c>
    </row>
    <row r="56" spans="1:20" ht="19.05" customHeight="1">
      <c r="A56" s="1" t="s">
        <v>35</v>
      </c>
      <c r="B56" s="11">
        <f>'Source Data'!C19/SUM('Source Data'!$C19:$U19)</f>
        <v>0.20652413489089708</v>
      </c>
      <c r="C56" s="11">
        <f>'Source Data'!D19/SUM('Source Data'!$C19:$U19)</f>
        <v>3.3183944358729456E-2</v>
      </c>
      <c r="D56" s="11">
        <f>'Source Data'!E19/SUM('Source Data'!$C19:$U19)</f>
        <v>7.6580216981363108E-2</v>
      </c>
      <c r="E56" s="11">
        <f>'Source Data'!F19/SUM('Source Data'!$C19:$U19)</f>
        <v>5.8261700095510981E-2</v>
      </c>
      <c r="F56" s="11">
        <f>'Source Data'!G19/SUM('Source Data'!$C19:$U19)</f>
        <v>4.9984081502706147E-2</v>
      </c>
      <c r="G56" s="11">
        <f>'Source Data'!H19/SUM('Source Data'!$C19:$U19)</f>
        <v>4.7388141944015867E-2</v>
      </c>
      <c r="H56" s="11">
        <f>'Source Data'!I19/SUM('Source Data'!$C19:$U19)</f>
        <v>4.3077902676756548E-2</v>
      </c>
      <c r="I56" s="11">
        <f>'Source Data'!J19/SUM('Source Data'!$C19:$U19)</f>
        <v>3.7077853696764869E-2</v>
      </c>
      <c r="J56" s="11">
        <f>'Source Data'!K19/SUM('Source Data'!$C19:$U19)</f>
        <v>3.6122743859133541E-2</v>
      </c>
      <c r="K56" s="11">
        <f>'Source Data'!L19/SUM('Source Data'!$C19:$U19)</f>
        <v>3.1959444566894424E-2</v>
      </c>
      <c r="L56" s="11">
        <f>'Source Data'!M19/SUM('Source Data'!$C19:$U19)</f>
        <v>3.2939044400362452E-2</v>
      </c>
      <c r="M56" s="11">
        <f>'Source Data'!N19/SUM('Source Data'!$C19:$U19)</f>
        <v>3.4408444150564495E-2</v>
      </c>
      <c r="N56" s="11">
        <f>'Source Data'!O19/SUM('Source Data'!$C19:$U19)</f>
        <v>2.7232875370411188E-2</v>
      </c>
      <c r="O56" s="11">
        <f>'Source Data'!P19/SUM('Source Data'!$C19:$U19)</f>
        <v>2.9020645066490339E-2</v>
      </c>
      <c r="P56" s="11">
        <f>'Source Data'!Q19/SUM('Source Data'!$C19:$U19)</f>
        <v>2.321651605319227E-2</v>
      </c>
      <c r="Q56" s="11">
        <f>'Source Data'!R19/SUM('Source Data'!$C19:$U19)</f>
        <v>1.8318516885852128E-2</v>
      </c>
      <c r="R56" s="11">
        <f>'Source Data'!S19/SUM('Source Data'!$C19:$U19)</f>
        <v>4.5135062327039406E-2</v>
      </c>
      <c r="S56" s="11">
        <f>'Source Data'!T19/SUM('Source Data'!$C19:$U19)</f>
        <v>3.5339063992359122E-2</v>
      </c>
      <c r="T56" s="11">
        <f>'Source Data'!U19/SUM('Source Data'!$C19:$U19)</f>
        <v>0.13422966718095658</v>
      </c>
    </row>
    <row r="57" spans="1:20" ht="19.05" customHeight="1">
      <c r="A57" s="1" t="s">
        <v>36</v>
      </c>
      <c r="B57" s="11">
        <f>'Source Data'!C20/SUM('Source Data'!$C20:$U20)</f>
        <v>0.20808435852372584</v>
      </c>
      <c r="C57" s="11">
        <f>'Source Data'!D20/SUM('Source Data'!$C20:$U20)</f>
        <v>1.9859402460456942E-2</v>
      </c>
      <c r="D57" s="11">
        <f>'Source Data'!E20/SUM('Source Data'!$C20:$U20)</f>
        <v>4.0011716461628585E-2</v>
      </c>
      <c r="E57" s="11">
        <f>'Source Data'!F20/SUM('Source Data'!$C20:$U20)</f>
        <v>3.7902753368482721E-2</v>
      </c>
      <c r="F57" s="11">
        <f>'Source Data'!G20/SUM('Source Data'!$C20:$U20)</f>
        <v>4.3409490333919158E-2</v>
      </c>
      <c r="G57" s="11">
        <f>'Source Data'!H20/SUM('Source Data'!$C20:$U20)</f>
        <v>3.4856473345049793E-2</v>
      </c>
      <c r="H57" s="11">
        <f>'Source Data'!I20/SUM('Source Data'!$C20:$U20)</f>
        <v>2.9876977152899824E-2</v>
      </c>
      <c r="I57" s="11">
        <f>'Source Data'!J20/SUM('Source Data'!$C20:$U20)</f>
        <v>2.9056824838898654E-2</v>
      </c>
      <c r="J57" s="11">
        <f>'Source Data'!K20/SUM('Source Data'!$C20:$U20)</f>
        <v>2.6947861745752782E-2</v>
      </c>
      <c r="K57" s="11">
        <f>'Source Data'!L20/SUM('Source Data'!$C20:$U20)</f>
        <v>3.3860574106619801E-2</v>
      </c>
      <c r="L57" s="11">
        <f>'Source Data'!M20/SUM('Source Data'!$C20:$U20)</f>
        <v>2.5717633274751024E-2</v>
      </c>
      <c r="M57" s="11">
        <f>'Source Data'!N20/SUM('Source Data'!$C20:$U20)</f>
        <v>2.7709431751611013E-2</v>
      </c>
      <c r="N57" s="11">
        <f>'Source Data'!O20/SUM('Source Data'!$C20:$U20)</f>
        <v>2.4428822495606326E-2</v>
      </c>
      <c r="O57" s="11">
        <f>'Source Data'!P20/SUM('Source Data'!$C20:$U20)</f>
        <v>2.1968365553602813E-2</v>
      </c>
      <c r="P57" s="11">
        <f>'Source Data'!Q20/SUM('Source Data'!$C20:$U20)</f>
        <v>1.7223198594024606E-2</v>
      </c>
      <c r="Q57" s="11">
        <f>'Source Data'!R20/SUM('Source Data'!$C20:$U20)</f>
        <v>1.4294083186877563E-2</v>
      </c>
      <c r="R57" s="11">
        <f>'Source Data'!S20/SUM('Source Data'!$C20:$U20)</f>
        <v>4.6397188049209136E-2</v>
      </c>
      <c r="S57" s="11">
        <f>'Source Data'!T20/SUM('Source Data'!$C20:$U20)</f>
        <v>3.8429994141769189E-2</v>
      </c>
      <c r="T57" s="11">
        <f>'Source Data'!U20/SUM('Source Data'!$C20:$U20)</f>
        <v>0.27996485061511422</v>
      </c>
    </row>
    <row r="58" spans="1:20" ht="19.05" customHeight="1">
      <c r="A58" s="1" t="s">
        <v>37</v>
      </c>
      <c r="B58" s="11">
        <f>'Source Data'!C21/SUM('Source Data'!$C21:$U21)</f>
        <v>0.15577312257288192</v>
      </c>
      <c r="C58" s="11">
        <f>'Source Data'!D21/SUM('Source Data'!$C21:$U21)</f>
        <v>2.1714160695728273E-2</v>
      </c>
      <c r="D58" s="11">
        <f>'Source Data'!E21/SUM('Source Data'!$C21:$U21)</f>
        <v>4.3318930153694687E-2</v>
      </c>
      <c r="E58" s="11">
        <f>'Source Data'!F21/SUM('Source Data'!$C21:$U21)</f>
        <v>4.5834928622217358E-2</v>
      </c>
      <c r="F58" s="11">
        <f>'Source Data'!G21/SUM('Source Data'!$C21:$U21)</f>
        <v>4.2936060821528198E-2</v>
      </c>
      <c r="G58" s="11">
        <f>'Source Data'!H21/SUM('Source Data'!$C21:$U21)</f>
        <v>3.9709019307553467E-2</v>
      </c>
      <c r="H58" s="11">
        <f>'Source Data'!I21/SUM('Source Data'!$C21:$U21)</f>
        <v>3.9435541213148829E-2</v>
      </c>
      <c r="I58" s="11">
        <f>'Source Data'!J21/SUM('Source Data'!$C21:$U21)</f>
        <v>3.1067111524366899E-2</v>
      </c>
      <c r="J58" s="11">
        <f>'Source Data'!K21/SUM('Source Data'!$C21:$U21)</f>
        <v>3.2106328283104522E-2</v>
      </c>
      <c r="K58" s="11">
        <f>'Source Data'!L21/SUM('Source Data'!$C21:$U21)</f>
        <v>4.0037193020839031E-2</v>
      </c>
      <c r="L58" s="11">
        <f>'Source Data'!M21/SUM('Source Data'!$C21:$U21)</f>
        <v>3.123119838100968E-2</v>
      </c>
      <c r="M58" s="11">
        <f>'Source Data'!N21/SUM('Source Data'!$C21:$U21)</f>
        <v>2.9590329814581852E-2</v>
      </c>
      <c r="N58" s="11">
        <f>'Source Data'!O21/SUM('Source Data'!$C21:$U21)</f>
        <v>2.7402505059344745E-2</v>
      </c>
      <c r="O58" s="11">
        <f>'Source Data'!P21/SUM('Source Data'!$C21:$U21)</f>
        <v>2.2097030027894767E-2</v>
      </c>
      <c r="P58" s="11">
        <f>'Source Data'!Q21/SUM('Source Data'!$C21:$U21)</f>
        <v>2.1932943171251981E-2</v>
      </c>
      <c r="Q58" s="11">
        <f>'Source Data'!R21/SUM('Source Data'!$C21:$U21)</f>
        <v>1.6353990045397365E-2</v>
      </c>
      <c r="R58" s="11">
        <f>'Source Data'!S21/SUM('Source Data'!$C21:$U21)</f>
        <v>4.6217797954383855E-2</v>
      </c>
      <c r="S58" s="11">
        <f>'Source Data'!T21/SUM('Source Data'!$C21:$U21)</f>
        <v>3.861510692993491E-2</v>
      </c>
      <c r="T58" s="11">
        <f>'Source Data'!U21/SUM('Source Data'!$C21:$U21)</f>
        <v>0.27462670240113768</v>
      </c>
    </row>
    <row r="59" spans="1:20" ht="19.05" customHeight="1">
      <c r="A59" s="1" t="s">
        <v>38</v>
      </c>
      <c r="B59" s="11">
        <f>'Source Data'!C22/SUM('Source Data'!$C22:$U22)</f>
        <v>0.27241122423640429</v>
      </c>
      <c r="C59" s="11">
        <f>'Source Data'!D22/SUM('Source Data'!$C22:$U22)</f>
        <v>4.8795629500869131E-2</v>
      </c>
      <c r="D59" s="11">
        <f>'Source Data'!E22/SUM('Source Data'!$C22:$U22)</f>
        <v>0.1009436304941644</v>
      </c>
      <c r="E59" s="11">
        <f>'Source Data'!F22/SUM('Source Data'!$C22:$U22)</f>
        <v>6.257760119195431E-2</v>
      </c>
      <c r="F59" s="11">
        <f>'Source Data'!G22/SUM('Source Data'!$C22:$U22)</f>
        <v>4.8671467593742239E-2</v>
      </c>
      <c r="G59" s="11">
        <f>'Source Data'!H22/SUM('Source Data'!$C22:$U22)</f>
        <v>3.4517010181276384E-2</v>
      </c>
      <c r="H59" s="11">
        <f>'Source Data'!I22/SUM('Source Data'!$C22:$U22)</f>
        <v>4.2339210330270674E-2</v>
      </c>
      <c r="I59" s="11">
        <f>'Source Data'!J22/SUM('Source Data'!$C22:$U22)</f>
        <v>2.4956543332505587E-2</v>
      </c>
      <c r="J59" s="11">
        <f>'Source Data'!K22/SUM('Source Data'!$C22:$U22)</f>
        <v>2.9178048174819966E-2</v>
      </c>
      <c r="K59" s="11">
        <f>'Source Data'!L22/SUM('Source Data'!$C22:$U22)</f>
        <v>2.7315619567916564E-2</v>
      </c>
      <c r="L59" s="11">
        <f>'Source Data'!M22/SUM('Source Data'!$C22:$U22)</f>
        <v>2.6446486218028309E-2</v>
      </c>
      <c r="M59" s="11">
        <f>'Source Data'!N22/SUM('Source Data'!$C22:$U22)</f>
        <v>2.3094114725602185E-2</v>
      </c>
      <c r="N59" s="11">
        <f>'Source Data'!O22/SUM('Source Data'!$C22:$U22)</f>
        <v>2.0486714675937424E-2</v>
      </c>
      <c r="O59" s="11">
        <f>'Source Data'!P22/SUM('Source Data'!$C22:$U22)</f>
        <v>2.7067295753662776E-2</v>
      </c>
      <c r="P59" s="11">
        <f>'Source Data'!Q22/SUM('Source Data'!$C22:$U22)</f>
        <v>1.6886019369257512E-2</v>
      </c>
      <c r="Q59" s="11">
        <f>'Source Data'!R22/SUM('Source Data'!$C22:$U22)</f>
        <v>1.9120933697541594E-2</v>
      </c>
      <c r="R59" s="11">
        <f>'Source Data'!S22/SUM('Source Data'!$C22:$U22)</f>
        <v>4.0600943630494164E-2</v>
      </c>
      <c r="S59" s="11">
        <f>'Source Data'!T22/SUM('Source Data'!$C22:$U22)</f>
        <v>2.6818971939408989E-2</v>
      </c>
      <c r="T59" s="11">
        <f>'Source Data'!U22/SUM('Source Data'!$C22:$U22)</f>
        <v>0.10777253538614354</v>
      </c>
    </row>
    <row r="60" spans="1:20" ht="19.05" customHeight="1">
      <c r="A60" s="1" t="s">
        <v>39</v>
      </c>
      <c r="B60" s="11">
        <f>'Source Data'!C23/SUM('Source Data'!$C23:$U23)</f>
        <v>8.263577311993571E-2</v>
      </c>
      <c r="C60" s="11">
        <f>'Source Data'!D23/SUM('Source Data'!$C23:$U23)</f>
        <v>1.3102971048460903E-2</v>
      </c>
      <c r="D60" s="11">
        <f>'Source Data'!E23/SUM('Source Data'!$C23:$U23)</f>
        <v>2.6741668340811178E-2</v>
      </c>
      <c r="E60" s="11">
        <f>'Source Data'!F23/SUM('Source Data'!$C23:$U23)</f>
        <v>3.120605370655595E-2</v>
      </c>
      <c r="F60" s="11">
        <f>'Source Data'!G23/SUM('Source Data'!$C23:$U23)</f>
        <v>3.7969597535659275E-2</v>
      </c>
      <c r="G60" s="11">
        <f>'Source Data'!H23/SUM('Source Data'!$C23:$U23)</f>
        <v>3.9197303511239089E-2</v>
      </c>
      <c r="H60" s="11">
        <f>'Source Data'!I23/SUM('Source Data'!$C23:$U23)</f>
        <v>5.1786870242639345E-2</v>
      </c>
      <c r="I60" s="11">
        <f>'Source Data'!J23/SUM('Source Data'!$C23:$U23)</f>
        <v>4.6608183218375412E-2</v>
      </c>
      <c r="J60" s="11">
        <f>'Source Data'!K23/SUM('Source Data'!$C23:$U23)</f>
        <v>4.9755574901225473E-2</v>
      </c>
      <c r="K60" s="11">
        <f>'Source Data'!L23/SUM('Source Data'!$C23:$U23)</f>
        <v>4.3862586218442377E-2</v>
      </c>
      <c r="L60" s="11">
        <f>'Source Data'!M23/SUM('Source Data'!$C23:$U23)</f>
        <v>5.5559275876693674E-2</v>
      </c>
      <c r="M60" s="11">
        <f>'Source Data'!N23/SUM('Source Data'!$C23:$U23)</f>
        <v>4.8617156632960561E-2</v>
      </c>
      <c r="N60" s="11">
        <f>'Source Data'!O23/SUM('Source Data'!$C23:$U23)</f>
        <v>4.5469764950110493E-2</v>
      </c>
      <c r="O60" s="11">
        <f>'Source Data'!P23/SUM('Source Data'!$C23:$U23)</f>
        <v>4.7054621754949885E-2</v>
      </c>
      <c r="P60" s="11">
        <f>'Source Data'!Q23/SUM('Source Data'!$C23:$U23)</f>
        <v>3.5558829438157101E-2</v>
      </c>
      <c r="Q60" s="11">
        <f>'Source Data'!R23/SUM('Source Data'!$C23:$U23)</f>
        <v>3.7567802852742249E-2</v>
      </c>
      <c r="R60" s="11">
        <f>'Source Data'!S23/SUM('Source Data'!$C23:$U23)</f>
        <v>7.5604366168887702E-2</v>
      </c>
      <c r="S60" s="11">
        <f>'Source Data'!T23/SUM('Source Data'!$C23:$U23)</f>
        <v>5.5001227705975576E-2</v>
      </c>
      <c r="T60" s="11">
        <f>'Source Data'!U23/SUM('Source Data'!$C23:$U23)</f>
        <v>0.17670037277617803</v>
      </c>
    </row>
    <row r="61" spans="1:20" ht="19.05" customHeight="1">
      <c r="A61" s="1" t="s">
        <v>40</v>
      </c>
      <c r="B61" s="11">
        <f>'Source Data'!C24/SUM('Source Data'!$C24:$U24)</f>
        <v>6.2868334371939824E-2</v>
      </c>
      <c r="C61" s="11">
        <f>'Source Data'!D24/SUM('Source Data'!$C24:$U24)</f>
        <v>1.5614706667853645E-2</v>
      </c>
      <c r="D61" s="11">
        <f>'Source Data'!E24/SUM('Source Data'!$C24:$U24)</f>
        <v>4.2677824267782424E-2</v>
      </c>
      <c r="E61" s="11">
        <f>'Source Data'!F24/SUM('Source Data'!$C24:$U24)</f>
        <v>4.3051722603044601E-2</v>
      </c>
      <c r="F61" s="11">
        <f>'Source Data'!G24/SUM('Source Data'!$C24:$U24)</f>
        <v>5.5105492744591825E-2</v>
      </c>
      <c r="G61" s="11">
        <f>'Source Data'!H24/SUM('Source Data'!$C24:$U24)</f>
        <v>5.4482328852488202E-2</v>
      </c>
      <c r="H61" s="11">
        <f>'Source Data'!I24/SUM('Source Data'!$C24:$U24)</f>
        <v>5.2951126146176447E-2</v>
      </c>
      <c r="I61" s="11">
        <f>'Source Data'!J24/SUM('Source Data'!$C24:$U24)</f>
        <v>5.3200391703017894E-2</v>
      </c>
      <c r="J61" s="11">
        <f>'Source Data'!K24/SUM('Source Data'!$C24:$U24)</f>
        <v>5.7972046648268494E-2</v>
      </c>
      <c r="K61" s="11">
        <f>'Source Data'!L24/SUM('Source Data'!$C24:$U24)</f>
        <v>5.8577405857740586E-2</v>
      </c>
      <c r="L61" s="11">
        <f>'Source Data'!M24/SUM('Source Data'!$C24:$U24)</f>
        <v>5.5906703463010771E-2</v>
      </c>
      <c r="M61" s="11">
        <f>'Source Data'!N24/SUM('Source Data'!$C24:$U24)</f>
        <v>5.1918454553547586E-2</v>
      </c>
      <c r="N61" s="11">
        <f>'Source Data'!O24/SUM('Source Data'!$C24:$U24)</f>
        <v>4.6256565476720378E-2</v>
      </c>
      <c r="O61" s="11">
        <f>'Source Data'!P24/SUM('Source Data'!$C24:$U24)</f>
        <v>4.4280245704620316E-2</v>
      </c>
      <c r="P61" s="11">
        <f>'Source Data'!Q24/SUM('Source Data'!$C24:$U24)</f>
        <v>3.9900293777263424E-2</v>
      </c>
      <c r="Q61" s="11">
        <f>'Source Data'!R24/SUM('Source Data'!$C24:$U24)</f>
        <v>3.154989762307487E-2</v>
      </c>
      <c r="R61" s="11">
        <f>'Source Data'!S24/SUM('Source Data'!$C24:$U24)</f>
        <v>7.396065165138431E-2</v>
      </c>
      <c r="S61" s="11">
        <f>'Source Data'!T24/SUM('Source Data'!$C24:$U24)</f>
        <v>5.0440665895130417E-2</v>
      </c>
      <c r="T61" s="11">
        <f>'Source Data'!U24/SUM('Source Data'!$C24:$U24)</f>
        <v>0.10928514199234399</v>
      </c>
    </row>
    <row r="62" spans="1:20" ht="19.05" customHeight="1">
      <c r="A62" s="1" t="s">
        <v>41</v>
      </c>
      <c r="B62" s="11">
        <f>'Source Data'!C25/SUM('Source Data'!$C25:$U25)</f>
        <v>0.20985588600421007</v>
      </c>
      <c r="C62" s="11">
        <f>'Source Data'!D25/SUM('Source Data'!$C25:$U25)</f>
        <v>2.0888433097641282E-2</v>
      </c>
      <c r="D62" s="11">
        <f>'Source Data'!E25/SUM('Source Data'!$C25:$U25)</f>
        <v>6.4716359907162513E-2</v>
      </c>
      <c r="E62" s="11">
        <f>'Source Data'!F25/SUM('Source Data'!$C25:$U25)</f>
        <v>4.6337777297997519E-2</v>
      </c>
      <c r="F62" s="11">
        <f>'Source Data'!G25/SUM('Source Data'!$C25:$U25)</f>
        <v>5.1924218707831815E-2</v>
      </c>
      <c r="G62" s="11">
        <f>'Source Data'!H25/SUM('Source Data'!$C25:$U25)</f>
        <v>4.5150321152911968E-2</v>
      </c>
      <c r="H62" s="11">
        <f>'Source Data'!I25/SUM('Source Data'!$C25:$U25)</f>
        <v>4.0886274086468395E-2</v>
      </c>
      <c r="I62" s="11">
        <f>'Source Data'!J25/SUM('Source Data'!$C25:$U25)</f>
        <v>3.6568251740702759E-2</v>
      </c>
      <c r="J62" s="11">
        <f>'Source Data'!K25/SUM('Source Data'!$C25:$U25)</f>
        <v>3.5191882117989959E-2</v>
      </c>
      <c r="K62" s="11">
        <f>'Source Data'!L25/SUM('Source Data'!$C25:$U25)</f>
        <v>3.4193339450531657E-2</v>
      </c>
      <c r="L62" s="11">
        <f>'Source Data'!M25/SUM('Source Data'!$C25:$U25)</f>
        <v>3.3788524855616127E-2</v>
      </c>
      <c r="M62" s="11">
        <f>'Source Data'!N25/SUM('Source Data'!$C25:$U25)</f>
        <v>3.0873859772224323E-2</v>
      </c>
      <c r="N62" s="11">
        <f>'Source Data'!O25/SUM('Source Data'!$C25:$U25)</f>
        <v>2.5530307119339343E-2</v>
      </c>
      <c r="O62" s="11">
        <f>'Source Data'!P25/SUM('Source Data'!$C25:$U25)</f>
        <v>3.1197711448156744E-2</v>
      </c>
      <c r="P62" s="11">
        <f>'Source Data'!Q25/SUM('Source Data'!$C25:$U25)</f>
        <v>2.4450801532897932E-2</v>
      </c>
      <c r="Q62" s="11">
        <f>'Source Data'!R25/SUM('Source Data'!$C25:$U25)</f>
        <v>2.1023371295946457E-2</v>
      </c>
      <c r="R62" s="11">
        <f>'Source Data'!S25/SUM('Source Data'!$C25:$U25)</f>
        <v>5.7132833162411613E-2</v>
      </c>
      <c r="S62" s="11">
        <f>'Source Data'!T25/SUM('Source Data'!$C25:$U25)</f>
        <v>4.1426026879689104E-2</v>
      </c>
      <c r="T62" s="11">
        <f>'Source Data'!U25/SUM('Source Data'!$C25:$U25)</f>
        <v>0.14886382037027041</v>
      </c>
    </row>
    <row r="63" spans="1:20" ht="19.05" customHeight="1">
      <c r="A63" s="1" t="s">
        <v>42</v>
      </c>
      <c r="B63" s="11">
        <f>'Source Data'!C26/SUM('Source Data'!$C26:$U26)</f>
        <v>0.14432989690721648</v>
      </c>
      <c r="C63" s="11">
        <f>'Source Data'!D26/SUM('Source Data'!$C26:$U26)</f>
        <v>6.7890369625345738E-3</v>
      </c>
      <c r="D63" s="11">
        <f>'Source Data'!E26/SUM('Source Data'!$C26:$U26)</f>
        <v>2.0115665074176513E-2</v>
      </c>
      <c r="E63" s="11">
        <f>'Source Data'!F26/SUM('Source Data'!$C26:$U26)</f>
        <v>1.8858436007040482E-2</v>
      </c>
      <c r="F63" s="11">
        <f>'Source Data'!G26/SUM('Source Data'!$C26:$U26)</f>
        <v>2.4390243902439025E-2</v>
      </c>
      <c r="G63" s="11">
        <f>'Source Data'!H26/SUM('Source Data'!$C26:$U26)</f>
        <v>1.4835302992205179E-2</v>
      </c>
      <c r="H63" s="11">
        <f>'Source Data'!I26/SUM('Source Data'!$C26:$U26)</f>
        <v>2.0115665074176513E-2</v>
      </c>
      <c r="I63" s="11">
        <f>'Source Data'!J26/SUM('Source Data'!$C26:$U26)</f>
        <v>2.263012320844858E-2</v>
      </c>
      <c r="J63" s="11">
        <f>'Source Data'!K26/SUM('Source Data'!$C26:$U26)</f>
        <v>2.3133014835302994E-2</v>
      </c>
      <c r="K63" s="11">
        <f>'Source Data'!L26/SUM('Source Data'!$C26:$U26)</f>
        <v>2.1875785768166959E-2</v>
      </c>
      <c r="L63" s="11">
        <f>'Source Data'!M26/SUM('Source Data'!$C26:$U26)</f>
        <v>1.8858436007040482E-2</v>
      </c>
      <c r="M63" s="11">
        <f>'Source Data'!N26/SUM('Source Data'!$C26:$U26)</f>
        <v>1.8606990193613275E-2</v>
      </c>
      <c r="N63" s="11">
        <f>'Source Data'!O26/SUM('Source Data'!$C26:$U26)</f>
        <v>2.3133014835302994E-2</v>
      </c>
      <c r="O63" s="11">
        <f>'Source Data'!P26/SUM('Source Data'!$C26:$U26)</f>
        <v>1.986421926074931E-2</v>
      </c>
      <c r="P63" s="11">
        <f>'Source Data'!Q26/SUM('Source Data'!$C26:$U26)</f>
        <v>1.3578073925069148E-2</v>
      </c>
      <c r="Q63" s="11">
        <f>'Source Data'!R26/SUM('Source Data'!$C26:$U26)</f>
        <v>2.263012320844858E-2</v>
      </c>
      <c r="R63" s="11">
        <f>'Source Data'!S26/SUM('Source Data'!$C26:$U26)</f>
        <v>4.9031933618305254E-2</v>
      </c>
      <c r="S63" s="11">
        <f>'Source Data'!T26/SUM('Source Data'!$C26:$U26)</f>
        <v>4.9534825245159668E-2</v>
      </c>
      <c r="T63" s="11">
        <f>'Source Data'!U26/SUM('Source Data'!$C26:$U26)</f>
        <v>0.46768921297460397</v>
      </c>
    </row>
    <row r="64" spans="1:20" ht="19.05" customHeight="1">
      <c r="A64" s="1" t="s">
        <v>43</v>
      </c>
      <c r="B64" s="11">
        <f>'Source Data'!C27/SUM('Source Data'!$C27:$U27)</f>
        <v>8.2173544717414976E-2</v>
      </c>
      <c r="C64" s="11">
        <f>'Source Data'!D27/SUM('Source Data'!$C27:$U27)</f>
        <v>1.7729638145951833E-2</v>
      </c>
      <c r="D64" s="11">
        <f>'Source Data'!E27/SUM('Source Data'!$C27:$U27)</f>
        <v>4.220622050102868E-2</v>
      </c>
      <c r="E64" s="11">
        <f>'Source Data'!F27/SUM('Source Data'!$C27:$U27)</f>
        <v>5.1282827060389689E-2</v>
      </c>
      <c r="F64" s="11">
        <f>'Source Data'!G27/SUM('Source Data'!$C27:$U27)</f>
        <v>6.229577635241438E-2</v>
      </c>
      <c r="G64" s="11">
        <f>'Source Data'!H27/SUM('Source Data'!$C27:$U27)</f>
        <v>5.9239985477429508E-2</v>
      </c>
      <c r="H64" s="11">
        <f>'Source Data'!I27/SUM('Source Data'!$C27:$U27)</f>
        <v>6.3445479849933442E-2</v>
      </c>
      <c r="I64" s="11">
        <f>'Source Data'!J27/SUM('Source Data'!$C27:$U27)</f>
        <v>5.8211303400701922E-2</v>
      </c>
      <c r="J64" s="11">
        <f>'Source Data'!K27/SUM('Source Data'!$C27:$U27)</f>
        <v>5.8695389083867844E-2</v>
      </c>
      <c r="K64" s="11">
        <f>'Source Data'!L27/SUM('Source Data'!$C27:$U27)</f>
        <v>5.579087498487232E-2</v>
      </c>
      <c r="L64" s="11">
        <f>'Source Data'!M27/SUM('Source Data'!$C27:$U27)</f>
        <v>5.4822703618540483E-2</v>
      </c>
      <c r="M64" s="11">
        <f>'Source Data'!N27/SUM('Source Data'!$C27:$U27)</f>
        <v>4.937673968292388E-2</v>
      </c>
      <c r="N64" s="11">
        <f>'Source Data'!O27/SUM('Source Data'!$C27:$U27)</f>
        <v>4.220622050102868E-2</v>
      </c>
      <c r="O64" s="11">
        <f>'Source Data'!P27/SUM('Source Data'!$C27:$U27)</f>
        <v>3.6851022631005689E-2</v>
      </c>
      <c r="P64" s="11">
        <f>'Source Data'!Q27/SUM('Source Data'!$C27:$U27)</f>
        <v>4.051192060994796E-2</v>
      </c>
      <c r="Q64" s="11">
        <f>'Source Data'!R27/SUM('Source Data'!$C27:$U27)</f>
        <v>3.5338254871112189E-2</v>
      </c>
      <c r="R64" s="11">
        <f>'Source Data'!S27/SUM('Source Data'!$C27:$U27)</f>
        <v>5.6305216023236113E-2</v>
      </c>
      <c r="S64" s="11">
        <f>'Source Data'!T27/SUM('Source Data'!$C27:$U27)</f>
        <v>4.6502480939126227E-2</v>
      </c>
      <c r="T64" s="11">
        <f>'Source Data'!U27/SUM('Source Data'!$C27:$U27)</f>
        <v>8.701440154907418E-2</v>
      </c>
    </row>
    <row r="65" spans="1:20" ht="19.05" customHeight="1">
      <c r="A65" s="1" t="s">
        <v>44</v>
      </c>
      <c r="B65" s="11">
        <f>'Source Data'!C28/SUM('Source Data'!$C28:$U28)</f>
        <v>7.0815748031496067E-2</v>
      </c>
      <c r="C65" s="11">
        <f>'Source Data'!D28/SUM('Source Data'!$C28:$U28)</f>
        <v>1.6075590551181101E-2</v>
      </c>
      <c r="D65" s="11">
        <f>'Source Data'!E28/SUM('Source Data'!$C28:$U28)</f>
        <v>3.9886614173228349E-2</v>
      </c>
      <c r="E65" s="11">
        <f>'Source Data'!F28/SUM('Source Data'!$C28:$U28)</f>
        <v>4.48E-2</v>
      </c>
      <c r="F65" s="11">
        <f>'Source Data'!G28/SUM('Source Data'!$C28:$U28)</f>
        <v>5.0292913385826775E-2</v>
      </c>
      <c r="G65" s="11">
        <f>'Source Data'!H28/SUM('Source Data'!$C28:$U28)</f>
        <v>5.4072440944881887E-2</v>
      </c>
      <c r="H65" s="11">
        <f>'Source Data'!I28/SUM('Source Data'!$C28:$U28)</f>
        <v>5.3996850393700786E-2</v>
      </c>
      <c r="I65" s="11">
        <f>'Source Data'!J28/SUM('Source Data'!$C28:$U28)</f>
        <v>5.974173228346457E-2</v>
      </c>
      <c r="J65" s="11">
        <f>'Source Data'!K28/SUM('Source Data'!$C28:$U28)</f>
        <v>5.4916535433070866E-2</v>
      </c>
      <c r="K65" s="11">
        <f>'Source Data'!L28/SUM('Source Data'!$C28:$U28)</f>
        <v>5.3366929133858265E-2</v>
      </c>
      <c r="L65" s="11">
        <f>'Source Data'!M28/SUM('Source Data'!$C28:$U28)</f>
        <v>5.4500787401574803E-2</v>
      </c>
      <c r="M65" s="11">
        <f>'Source Data'!N28/SUM('Source Data'!$C28:$U28)</f>
        <v>4.8403149606299212E-2</v>
      </c>
      <c r="N65" s="11">
        <f>'Source Data'!O28/SUM('Source Data'!$C28:$U28)</f>
        <v>4.8201574803149606E-2</v>
      </c>
      <c r="O65" s="11">
        <f>'Source Data'!P28/SUM('Source Data'!$C28:$U28)</f>
        <v>3.900472440944882E-2</v>
      </c>
      <c r="P65" s="11">
        <f>'Source Data'!Q28/SUM('Source Data'!$C28:$U28)</f>
        <v>3.8034645669291337E-2</v>
      </c>
      <c r="Q65" s="11">
        <f>'Source Data'!R28/SUM('Source Data'!$C28:$U28)</f>
        <v>3.6371653543307084E-2</v>
      </c>
      <c r="R65" s="11">
        <f>'Source Data'!S28/SUM('Source Data'!$C28:$U28)</f>
        <v>7.5981102362204719E-2</v>
      </c>
      <c r="S65" s="11">
        <f>'Source Data'!T28/SUM('Source Data'!$C28:$U28)</f>
        <v>5.0481889763779528E-2</v>
      </c>
      <c r="T65" s="11">
        <f>'Source Data'!U28/SUM('Source Data'!$C28:$U28)</f>
        <v>0.11105511811023622</v>
      </c>
    </row>
    <row r="66" spans="1:20" ht="19.05" customHeight="1">
      <c r="A66" s="1" t="s">
        <v>45</v>
      </c>
      <c r="B66" s="11">
        <f>'Source Data'!C29/SUM('Source Data'!$C29:$U29)</f>
        <v>0.13963136060494669</v>
      </c>
      <c r="C66" s="11">
        <f>'Source Data'!D29/SUM('Source Data'!$C29:$U29)</f>
        <v>1.3023158115843092E-2</v>
      </c>
      <c r="D66" s="11">
        <f>'Source Data'!E29/SUM('Source Data'!$C29:$U29)</f>
        <v>3.7914194192091584E-2</v>
      </c>
      <c r="E66" s="11">
        <f>'Source Data'!F29/SUM('Source Data'!$C29:$U29)</f>
        <v>4.2771622118363703E-2</v>
      </c>
      <c r="F66" s="11">
        <f>'Source Data'!G29/SUM('Source Data'!$C29:$U29)</f>
        <v>3.8439321535472352E-2</v>
      </c>
      <c r="G66" s="11">
        <f>'Source Data'!H29/SUM('Source Data'!$C29:$U29)</f>
        <v>3.7152759544189465E-2</v>
      </c>
      <c r="H66" s="11">
        <f>'Source Data'!I29/SUM('Source Data'!$C29:$U29)</f>
        <v>4.6447513522029089E-2</v>
      </c>
      <c r="I66" s="11">
        <f>'Source Data'!J29/SUM('Source Data'!$C29:$U29)</f>
        <v>4.1432547392742741E-2</v>
      </c>
      <c r="J66" s="11">
        <f>'Source Data'!K29/SUM('Source Data'!$C29:$U29)</f>
        <v>4.6631308092212359E-2</v>
      </c>
      <c r="K66" s="11">
        <f>'Source Data'!L29/SUM('Source Data'!$C29:$U29)</f>
        <v>4.0408549073150238E-2</v>
      </c>
      <c r="L66" s="11">
        <f>'Source Data'!M29/SUM('Source Data'!$C29:$U29)</f>
        <v>3.8465577902641393E-2</v>
      </c>
      <c r="M66" s="11">
        <f>'Source Data'!N29/SUM('Source Data'!$C29:$U29)</f>
        <v>3.5104762905004465E-2</v>
      </c>
      <c r="N66" s="11">
        <f>'Source Data'!O29/SUM('Source Data'!$C29:$U29)</f>
        <v>3.3450611773355038E-2</v>
      </c>
      <c r="O66" s="11">
        <f>'Source Data'!P29/SUM('Source Data'!$C29:$U29)</f>
        <v>2.7437903691645223E-2</v>
      </c>
      <c r="P66" s="11">
        <f>'Source Data'!Q29/SUM('Source Data'!$C29:$U29)</f>
        <v>2.785800556634984E-2</v>
      </c>
      <c r="Q66" s="11">
        <f>'Source Data'!R29/SUM('Source Data'!$C29:$U29)</f>
        <v>2.6518930840728878E-2</v>
      </c>
      <c r="R66" s="11">
        <f>'Source Data'!S29/SUM('Source Data'!$C29:$U29)</f>
        <v>5.2932836212781602E-2</v>
      </c>
      <c r="S66" s="11">
        <f>'Source Data'!T29/SUM('Source Data'!$C29:$U29)</f>
        <v>4.7681562778973903E-2</v>
      </c>
      <c r="T66" s="11">
        <f>'Source Data'!U29/SUM('Source Data'!$C29:$U29)</f>
        <v>0.22669747413747834</v>
      </c>
    </row>
    <row r="67" spans="1:20" ht="19.05" customHeight="1">
      <c r="A67" s="1" t="s">
        <v>46</v>
      </c>
      <c r="B67" s="11">
        <f>'Source Data'!C30/SUM('Source Data'!$C30:$U30)</f>
        <v>0.11509458765042603</v>
      </c>
      <c r="C67" s="11">
        <f>'Source Data'!D30/SUM('Source Data'!$C30:$U30)</f>
        <v>1.659914673932528E-2</v>
      </c>
      <c r="D67" s="11">
        <f>'Source Data'!E30/SUM('Source Data'!$C30:$U30)</f>
        <v>4.7885371479104676E-2</v>
      </c>
      <c r="E67" s="11">
        <f>'Source Data'!F30/SUM('Source Data'!$C30:$U30)</f>
        <v>4.6690328517310198E-2</v>
      </c>
      <c r="F67" s="11">
        <f>'Source Data'!G30/SUM('Source Data'!$C30:$U30)</f>
        <v>5.510343096834331E-2</v>
      </c>
      <c r="G67" s="11">
        <f>'Source Data'!H30/SUM('Source Data'!$C30:$U30)</f>
        <v>5.3418420392213103E-2</v>
      </c>
      <c r="H67" s="11">
        <f>'Source Data'!I30/SUM('Source Data'!$C30:$U30)</f>
        <v>5.4063743591582114E-2</v>
      </c>
      <c r="I67" s="11">
        <f>'Source Data'!J30/SUM('Source Data'!$C30:$U30)</f>
        <v>5.3179411799854207E-2</v>
      </c>
      <c r="J67" s="11">
        <f>'Source Data'!K30/SUM('Source Data'!$C30:$U30)</f>
        <v>5.4601512924389632E-2</v>
      </c>
      <c r="K67" s="11">
        <f>'Source Data'!L30/SUM('Source Data'!$C30:$U30)</f>
        <v>4.5531136844369553E-2</v>
      </c>
      <c r="L67" s="11">
        <f>'Source Data'!M30/SUM('Source Data'!$C30:$U30)</f>
        <v>4.8243884367643014E-2</v>
      </c>
      <c r="M67" s="11">
        <f>'Source Data'!N30/SUM('Source Data'!$C30:$U30)</f>
        <v>4.6654477228456365E-2</v>
      </c>
      <c r="N67" s="11">
        <f>'Source Data'!O30/SUM('Source Data'!$C30:$U30)</f>
        <v>4.0416352967889195E-2</v>
      </c>
      <c r="O67" s="11">
        <f>'Source Data'!P30/SUM('Source Data'!$C30:$U30)</f>
        <v>3.6412959045877699E-2</v>
      </c>
      <c r="P67" s="11">
        <f>'Source Data'!Q30/SUM('Source Data'!$C30:$U30)</f>
        <v>3.3568756796806848E-2</v>
      </c>
      <c r="Q67" s="11">
        <f>'Source Data'!R30/SUM('Source Data'!$C30:$U30)</f>
        <v>2.8095460031788144E-2</v>
      </c>
      <c r="R67" s="11">
        <f>'Source Data'!S30/SUM('Source Data'!$C30:$U30)</f>
        <v>6.3755542011735319E-2</v>
      </c>
      <c r="S67" s="11">
        <f>'Source Data'!T30/SUM('Source Data'!$C30:$U30)</f>
        <v>4.4790210208056978E-2</v>
      </c>
      <c r="T67" s="11">
        <f>'Source Data'!U30/SUM('Source Data'!$C30:$U30)</f>
        <v>0.11589526643482834</v>
      </c>
    </row>
    <row r="68" spans="1:20" ht="19.05" customHeight="1">
      <c r="A68" s="1" t="s">
        <v>47</v>
      </c>
      <c r="B68" s="11">
        <f>'Source Data'!C31/SUM('Source Data'!$C31:$U31)</f>
        <v>0.15246975806451613</v>
      </c>
      <c r="C68" s="11">
        <f>'Source Data'!D31/SUM('Source Data'!$C31:$U31)</f>
        <v>8.946572580645162E-3</v>
      </c>
      <c r="D68" s="11">
        <f>'Source Data'!E31/SUM('Source Data'!$C31:$U31)</f>
        <v>1.0584677419354838E-2</v>
      </c>
      <c r="E68" s="11">
        <f>'Source Data'!F31/SUM('Source Data'!$C31:$U31)</f>
        <v>1.310483870967742E-2</v>
      </c>
      <c r="F68" s="11">
        <f>'Source Data'!G31/SUM('Source Data'!$C31:$U31)</f>
        <v>1.6633064516129031E-2</v>
      </c>
      <c r="G68" s="11">
        <f>'Source Data'!H31/SUM('Source Data'!$C31:$U31)</f>
        <v>1.6003024193548387E-2</v>
      </c>
      <c r="H68" s="11">
        <f>'Source Data'!I31/SUM('Source Data'!$C31:$U31)</f>
        <v>2.4067540322580645E-2</v>
      </c>
      <c r="I68" s="11">
        <f>'Source Data'!J31/SUM('Source Data'!$C31:$U31)</f>
        <v>1.3734879032258064E-2</v>
      </c>
      <c r="J68" s="11">
        <f>'Source Data'!K31/SUM('Source Data'!$C31:$U31)</f>
        <v>1.953125E-2</v>
      </c>
      <c r="K68" s="11">
        <f>'Source Data'!L31/SUM('Source Data'!$C31:$U31)</f>
        <v>2.2933467741935484E-2</v>
      </c>
      <c r="L68" s="11">
        <f>'Source Data'!M31/SUM('Source Data'!$C31:$U31)</f>
        <v>1.5751008064516129E-2</v>
      </c>
      <c r="M68" s="11">
        <f>'Source Data'!N31/SUM('Source Data'!$C31:$U31)</f>
        <v>2.3059475806451613E-2</v>
      </c>
      <c r="N68" s="11">
        <f>'Source Data'!O31/SUM('Source Data'!$C31:$U31)</f>
        <v>1.6255040322580645E-2</v>
      </c>
      <c r="O68" s="11">
        <f>'Source Data'!P31/SUM('Source Data'!$C31:$U31)</f>
        <v>1.9783266129032258E-2</v>
      </c>
      <c r="P68" s="11">
        <f>'Source Data'!Q31/SUM('Source Data'!$C31:$U31)</f>
        <v>1.7893145161290324E-2</v>
      </c>
      <c r="Q68" s="11">
        <f>'Source Data'!R31/SUM('Source Data'!$C31:$U31)</f>
        <v>1.2474798387096774E-2</v>
      </c>
      <c r="R68" s="11">
        <f>'Source Data'!S31/SUM('Source Data'!$C31:$U31)</f>
        <v>4.5236895161290321E-2</v>
      </c>
      <c r="S68" s="11">
        <f>'Source Data'!T31/SUM('Source Data'!$C31:$U31)</f>
        <v>5.040322580645161E-2</v>
      </c>
      <c r="T68" s="11">
        <f>'Source Data'!U31/SUM('Source Data'!$C31:$U31)</f>
        <v>0.50113407258064513</v>
      </c>
    </row>
    <row r="69" spans="1:20" ht="19.05" customHeight="1">
      <c r="A69" s="1" t="s">
        <v>48</v>
      </c>
      <c r="B69" s="11">
        <f>'Source Data'!C32/SUM('Source Data'!$C32:$U32)</f>
        <v>0.21363966039506804</v>
      </c>
      <c r="C69" s="11">
        <f>'Source Data'!D32/SUM('Source Data'!$C32:$U32)</f>
        <v>2.7646230641238962E-2</v>
      </c>
      <c r="D69" s="11">
        <f>'Source Data'!E32/SUM('Source Data'!$C32:$U32)</f>
        <v>6.3718588676991345E-2</v>
      </c>
      <c r="E69" s="11">
        <f>'Source Data'!F32/SUM('Source Data'!$C32:$U32)</f>
        <v>5.023678484576987E-2</v>
      </c>
      <c r="F69" s="11">
        <f>'Source Data'!G32/SUM('Source Data'!$C32:$U32)</f>
        <v>5.5740432612312811E-2</v>
      </c>
      <c r="G69" s="11">
        <f>'Source Data'!H32/SUM('Source Data'!$C32:$U32)</f>
        <v>5.3393916122701481E-2</v>
      </c>
      <c r="H69" s="11">
        <f>'Source Data'!I32/SUM('Source Data'!$C32:$U32)</f>
        <v>4.432782968556679E-2</v>
      </c>
      <c r="I69" s="11">
        <f>'Source Data'!J32/SUM('Source Data'!$C32:$U32)</f>
        <v>4.4669141174964802E-2</v>
      </c>
      <c r="J69" s="11">
        <f>'Source Data'!K32/SUM('Source Data'!$C32:$U32)</f>
        <v>3.7309612184820172E-2</v>
      </c>
      <c r="K69" s="11">
        <f>'Source Data'!L32/SUM('Source Data'!$C32:$U32)</f>
        <v>4.2322624685353472E-2</v>
      </c>
      <c r="L69" s="11">
        <f>'Source Data'!M32/SUM('Source Data'!$C32:$U32)</f>
        <v>3.1038013567131702E-2</v>
      </c>
      <c r="M69" s="11">
        <f>'Source Data'!N32/SUM('Source Data'!$C32:$U32)</f>
        <v>3.1443320960791846E-2</v>
      </c>
      <c r="N69" s="11">
        <f>'Source Data'!O32/SUM('Source Data'!$C32:$U32)</f>
        <v>2.8947480694568879E-2</v>
      </c>
      <c r="O69" s="11">
        <f>'Source Data'!P32/SUM('Source Data'!$C32:$U32)</f>
        <v>2.6600964204957549E-2</v>
      </c>
      <c r="P69" s="11">
        <f>'Source Data'!Q32/SUM('Source Data'!$C32:$U32)</f>
        <v>1.8580144204104272E-2</v>
      </c>
      <c r="Q69" s="11">
        <f>'Source Data'!R32/SUM('Source Data'!$C32:$U32)</f>
        <v>1.9049447502026536E-2</v>
      </c>
      <c r="R69" s="11">
        <f>'Source Data'!S32/SUM('Source Data'!$C32:$U32)</f>
        <v>4.829557574981868E-2</v>
      </c>
      <c r="S69" s="11">
        <f>'Source Data'!T32/SUM('Source Data'!$C32:$U32)</f>
        <v>3.3021886599257651E-2</v>
      </c>
      <c r="T69" s="11">
        <f>'Source Data'!U32/SUM('Source Data'!$C32:$U32)</f>
        <v>0.13001834549255514</v>
      </c>
    </row>
    <row r="70" spans="1:20" ht="19.05" customHeight="1">
      <c r="A70" s="1" t="s">
        <v>49</v>
      </c>
      <c r="B70" s="11">
        <f>'Source Data'!C33/SUM('Source Data'!$C33:$U33)</f>
        <v>9.0474378488077115E-2</v>
      </c>
      <c r="C70" s="11">
        <f>'Source Data'!D33/SUM('Source Data'!$C33:$U33)</f>
        <v>1.6400304414003045E-2</v>
      </c>
      <c r="D70" s="11">
        <f>'Source Data'!E33/SUM('Source Data'!$C33:$U33)</f>
        <v>4.9632166412988329E-2</v>
      </c>
      <c r="E70" s="11">
        <f>'Source Data'!F33/SUM('Source Data'!$C33:$U33)</f>
        <v>5.6697108066971078E-2</v>
      </c>
      <c r="F70" s="11">
        <f>'Source Data'!G33/SUM('Source Data'!$C33:$U33)</f>
        <v>6.5322171486555045E-2</v>
      </c>
      <c r="G70" s="11">
        <f>'Source Data'!H33/SUM('Source Data'!$C33:$U33)</f>
        <v>6.3609842719431764E-2</v>
      </c>
      <c r="H70" s="11">
        <f>'Source Data'!I33/SUM('Source Data'!$C33:$U33)</f>
        <v>7.0624048706240491E-2</v>
      </c>
      <c r="I70" s="11">
        <f>'Source Data'!J33/SUM('Source Data'!$C33:$U33)</f>
        <v>6.5943683409436835E-2</v>
      </c>
      <c r="J70" s="11">
        <f>'Source Data'!K33/SUM('Source Data'!$C33:$U33)</f>
        <v>6.3914256722475901E-2</v>
      </c>
      <c r="K70" s="11">
        <f>'Source Data'!L33/SUM('Source Data'!$C33:$U33)</f>
        <v>5.8409436834094365E-2</v>
      </c>
      <c r="L70" s="11">
        <f>'Source Data'!M33/SUM('Source Data'!$C33:$U33)</f>
        <v>5.7673769660071032E-2</v>
      </c>
      <c r="M70" s="11">
        <f>'Source Data'!N33/SUM('Source Data'!$C33:$U33)</f>
        <v>4.4152714358193811E-2</v>
      </c>
      <c r="N70" s="11">
        <f>'Source Data'!O33/SUM('Source Data'!$C33:$U33)</f>
        <v>4.0613901572805686E-2</v>
      </c>
      <c r="O70" s="11">
        <f>'Source Data'!P33/SUM('Source Data'!$C33:$U33)</f>
        <v>3.5502283105022833E-2</v>
      </c>
      <c r="P70" s="11">
        <f>'Source Data'!Q33/SUM('Source Data'!$C33:$U33)</f>
        <v>3.7011669203450025E-2</v>
      </c>
      <c r="Q70" s="11">
        <f>'Source Data'!R33/SUM('Source Data'!$C33:$U33)</f>
        <v>2.7688990360223237E-2</v>
      </c>
      <c r="R70" s="11">
        <f>'Source Data'!S33/SUM('Source Data'!$C33:$U33)</f>
        <v>5.8016235413495688E-2</v>
      </c>
      <c r="S70" s="11">
        <f>'Source Data'!T33/SUM('Source Data'!$C33:$U33)</f>
        <v>3.4081684424150174E-2</v>
      </c>
      <c r="T70" s="11">
        <f>'Source Data'!U33/SUM('Source Data'!$C33:$U33)</f>
        <v>6.423135464231354E-2</v>
      </c>
    </row>
    <row r="71" spans="1:20" ht="19.05" customHeight="1">
      <c r="A71" s="1" t="s">
        <v>50</v>
      </c>
      <c r="B71" s="11">
        <f>'Source Data'!C34/SUM('Source Data'!$C34:$U34)</f>
        <v>0.1153519707177338</v>
      </c>
      <c r="C71" s="11">
        <f>'Source Data'!D34/SUM('Source Data'!$C34:$U34)</f>
        <v>2.0569200572913903E-2</v>
      </c>
      <c r="D71" s="11">
        <f>'Source Data'!E34/SUM('Source Data'!$C34:$U34)</f>
        <v>5.9081746326454833E-2</v>
      </c>
      <c r="E71" s="11">
        <f>'Source Data'!F34/SUM('Source Data'!$C34:$U34)</f>
        <v>6.5142432762187688E-2</v>
      </c>
      <c r="F71" s="11">
        <f>'Source Data'!G34/SUM('Source Data'!$C34:$U34)</f>
        <v>6.4134528672218985E-2</v>
      </c>
      <c r="G71" s="11">
        <f>'Source Data'!H34/SUM('Source Data'!$C34:$U34)</f>
        <v>6.5208742241790893E-2</v>
      </c>
      <c r="H71" s="11">
        <f>'Source Data'!I34/SUM('Source Data'!$C34:$U34)</f>
        <v>6.7489788340141105E-2</v>
      </c>
      <c r="I71" s="11">
        <f>'Source Data'!J34/SUM('Source Data'!$C34:$U34)</f>
        <v>6.262267253726593E-2</v>
      </c>
      <c r="J71" s="11">
        <f>'Source Data'!K34/SUM('Source Data'!$C34:$U34)</f>
        <v>5.5540820115643735E-2</v>
      </c>
      <c r="K71" s="11">
        <f>'Source Data'!L34/SUM('Source Data'!$C34:$U34)</f>
        <v>5.1681608402737257E-2</v>
      </c>
      <c r="L71" s="11">
        <f>'Source Data'!M34/SUM('Source Data'!$C34:$U34)</f>
        <v>4.5488303007797992E-2</v>
      </c>
      <c r="M71" s="11">
        <f>'Source Data'!N34/SUM('Source Data'!$C34:$U34)</f>
        <v>4.7663253938783089E-2</v>
      </c>
      <c r="N71" s="11">
        <f>'Source Data'!O34/SUM('Source Data'!$C34:$U34)</f>
        <v>3.9268473821017454E-2</v>
      </c>
      <c r="O71" s="11">
        <f>'Source Data'!P34/SUM('Source Data'!$C34:$U34)</f>
        <v>3.1457217123760012E-2</v>
      </c>
      <c r="P71" s="11">
        <f>'Source Data'!Q34/SUM('Source Data'!$C34:$U34)</f>
        <v>3.0038194260251446E-2</v>
      </c>
      <c r="Q71" s="11">
        <f>'Source Data'!R34/SUM('Source Data'!$C34:$U34)</f>
        <v>2.5449578271709725E-2</v>
      </c>
      <c r="R71" s="11">
        <f>'Source Data'!S34/SUM('Source Data'!$C34:$U34)</f>
        <v>4.9334252824783834E-2</v>
      </c>
      <c r="S71" s="11">
        <f>'Source Data'!T34/SUM('Source Data'!$C34:$U34)</f>
        <v>3.1337860060474246E-2</v>
      </c>
      <c r="T71" s="11">
        <f>'Source Data'!U34/SUM('Source Data'!$C34:$U34)</f>
        <v>7.3139356002334094E-2</v>
      </c>
    </row>
    <row r="72" spans="1:20" ht="19.05" customHeight="1">
      <c r="A72" s="8" t="s">
        <v>51</v>
      </c>
      <c r="B72" s="12">
        <f>'Source Data'!C35/SUM('Source Data'!$C35:$U35)</f>
        <v>0.13879352623835214</v>
      </c>
      <c r="C72" s="12">
        <f>'Source Data'!D35/SUM('Source Data'!$C35:$U35)</f>
        <v>1.1361778649664868E-2</v>
      </c>
      <c r="D72" s="12">
        <f>'Source Data'!E35/SUM('Source Data'!$C35:$U35)</f>
        <v>3.9970573810691516E-2</v>
      </c>
      <c r="E72" s="12">
        <f>'Source Data'!F35/SUM('Source Data'!$C35:$U35)</f>
        <v>4.7081902893575285E-2</v>
      </c>
      <c r="F72" s="12">
        <f>'Source Data'!G35/SUM('Source Data'!$C35:$U35)</f>
        <v>3.2532287068824585E-2</v>
      </c>
      <c r="G72" s="12">
        <f>'Source Data'!H35/SUM('Source Data'!$C35:$U35)</f>
        <v>3.5638384829164621E-2</v>
      </c>
      <c r="H72" s="12">
        <f>'Source Data'!I35/SUM('Source Data'!$C35:$U35)</f>
        <v>4.5365375183913682E-2</v>
      </c>
      <c r="I72" s="12">
        <f>'Source Data'!J35/SUM('Source Data'!$C35:$U35)</f>
        <v>4.6019290501880007E-2</v>
      </c>
      <c r="J72" s="12">
        <f>'Source Data'!K35/SUM('Source Data'!$C35:$U35)</f>
        <v>2.0925290174922347E-2</v>
      </c>
      <c r="K72" s="12">
        <f>'Source Data'!L35/SUM('Source Data'!$C35:$U35)</f>
        <v>4.1687101520353112E-2</v>
      </c>
      <c r="L72" s="12">
        <f>'Source Data'!M35/SUM('Source Data'!$C35:$U35)</f>
        <v>3.0652280529671408E-2</v>
      </c>
      <c r="M72" s="12">
        <f>'Source Data'!N35/SUM('Source Data'!$C35:$U35)</f>
        <v>3.3921857119503025E-2</v>
      </c>
      <c r="N72" s="12">
        <f>'Source Data'!O35/SUM('Source Data'!$C35:$U35)</f>
        <v>2.8772273990518227E-2</v>
      </c>
      <c r="O72" s="12">
        <f>'Source Data'!P35/SUM('Source Data'!$C35:$U35)</f>
        <v>2.1824423737126043E-2</v>
      </c>
      <c r="P72" s="12">
        <f>'Source Data'!Q35/SUM('Source Data'!$C35:$U35)</f>
        <v>8.6643779630537852E-3</v>
      </c>
      <c r="Q72" s="12">
        <f>'Source Data'!R35/SUM('Source Data'!$C35:$U35)</f>
        <v>1.7900931829328101E-2</v>
      </c>
      <c r="R72" s="12">
        <f>'Source Data'!S35/SUM('Source Data'!$C35:$U35)</f>
        <v>5.1087134216119011E-2</v>
      </c>
      <c r="S72" s="12">
        <f>'Source Data'!T35/SUM('Source Data'!$C35:$U35)</f>
        <v>4.6101029916625798E-2</v>
      </c>
      <c r="T72" s="12">
        <f>'Source Data'!U35/SUM('Source Data'!$C35:$U35)</f>
        <v>0.30170017982671243</v>
      </c>
    </row>
    <row r="75" spans="1:20">
      <c r="A75" s="3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1" width="20" customWidth="1"/>
    <col min="2" max="21" width="14" customWidth="1"/>
  </cols>
  <sheetData>
    <row r="1" spans="1:21" ht="24" customHeight="1">
      <c r="A1" s="2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4" customHeight="1">
      <c r="A2" s="3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4" customHeight="1">
      <c r="A3" s="4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6" t="s">
        <v>75</v>
      </c>
    </row>
    <row r="4" spans="1:21">
      <c r="A4" s="1" t="s">
        <v>56</v>
      </c>
      <c r="B4" s="7">
        <v>1372559</v>
      </c>
      <c r="C4" s="7">
        <v>182445</v>
      </c>
      <c r="D4" s="7">
        <v>26987</v>
      </c>
      <c r="E4" s="7">
        <v>70518</v>
      </c>
      <c r="F4" s="7">
        <v>69178</v>
      </c>
      <c r="G4" s="7">
        <v>74176</v>
      </c>
      <c r="H4" s="7">
        <v>70563</v>
      </c>
      <c r="I4" s="7">
        <v>73237</v>
      </c>
      <c r="J4" s="7">
        <v>68600</v>
      </c>
      <c r="K4" s="7">
        <v>65964</v>
      </c>
      <c r="L4" s="7">
        <v>62602</v>
      </c>
      <c r="M4" s="7">
        <v>59540</v>
      </c>
      <c r="N4" s="7">
        <v>55098</v>
      </c>
      <c r="O4" s="7">
        <v>49147</v>
      </c>
      <c r="P4" s="7">
        <v>44133</v>
      </c>
      <c r="Q4" s="7">
        <v>40473</v>
      </c>
      <c r="R4" s="7">
        <v>36066</v>
      </c>
      <c r="S4" s="7">
        <v>77041</v>
      </c>
      <c r="T4" s="7">
        <v>55319</v>
      </c>
      <c r="U4" s="7">
        <v>191473</v>
      </c>
    </row>
    <row r="5" spans="1:21">
      <c r="A5" s="1" t="s">
        <v>21</v>
      </c>
      <c r="B5" s="7">
        <v>60220</v>
      </c>
      <c r="C5" s="7">
        <v>11455</v>
      </c>
      <c r="D5" s="7">
        <v>1563</v>
      </c>
      <c r="E5" s="7">
        <v>4228</v>
      </c>
      <c r="F5" s="7">
        <v>3557</v>
      </c>
      <c r="G5" s="7">
        <v>4035</v>
      </c>
      <c r="H5" s="7">
        <v>3355</v>
      </c>
      <c r="I5" s="7">
        <v>3160</v>
      </c>
      <c r="J5" s="7">
        <v>2930</v>
      </c>
      <c r="K5" s="7">
        <v>2642</v>
      </c>
      <c r="L5" s="7">
        <v>2253</v>
      </c>
      <c r="M5" s="7">
        <v>2307</v>
      </c>
      <c r="N5" s="7">
        <v>1923</v>
      </c>
      <c r="O5" s="7">
        <v>1859</v>
      </c>
      <c r="P5" s="7">
        <v>1332</v>
      </c>
      <c r="Q5" s="7">
        <v>1402</v>
      </c>
      <c r="R5" s="7">
        <v>1222</v>
      </c>
      <c r="S5" s="7">
        <v>2648</v>
      </c>
      <c r="T5" s="7">
        <v>1815</v>
      </c>
      <c r="U5" s="7">
        <v>6532</v>
      </c>
    </row>
    <row r="6" spans="1:21">
      <c r="A6" s="1" t="s">
        <v>22</v>
      </c>
      <c r="B6" s="7">
        <v>97551</v>
      </c>
      <c r="C6" s="7">
        <v>16818</v>
      </c>
      <c r="D6" s="7">
        <v>2203</v>
      </c>
      <c r="E6" s="7">
        <v>5278</v>
      </c>
      <c r="F6" s="7">
        <v>5220</v>
      </c>
      <c r="G6" s="7">
        <v>5515</v>
      </c>
      <c r="H6" s="7">
        <v>4672</v>
      </c>
      <c r="I6" s="7">
        <v>5050</v>
      </c>
      <c r="J6" s="7">
        <v>3898</v>
      </c>
      <c r="K6" s="7">
        <v>4251</v>
      </c>
      <c r="L6" s="7">
        <v>3360</v>
      </c>
      <c r="M6" s="7">
        <v>3712</v>
      </c>
      <c r="N6" s="7">
        <v>3266</v>
      </c>
      <c r="O6" s="7">
        <v>2685</v>
      </c>
      <c r="P6" s="7">
        <v>2624</v>
      </c>
      <c r="Q6" s="7">
        <v>2515</v>
      </c>
      <c r="R6" s="7">
        <v>1932</v>
      </c>
      <c r="S6" s="7">
        <v>4056</v>
      </c>
      <c r="T6" s="7">
        <v>3329</v>
      </c>
      <c r="U6" s="7">
        <v>17168</v>
      </c>
    </row>
    <row r="7" spans="1:21">
      <c r="A7" s="1" t="s">
        <v>23</v>
      </c>
      <c r="B7" s="7">
        <v>29445</v>
      </c>
      <c r="C7" s="7">
        <v>4412</v>
      </c>
      <c r="D7" s="7">
        <v>508</v>
      </c>
      <c r="E7" s="7">
        <v>983</v>
      </c>
      <c r="F7" s="7">
        <v>910</v>
      </c>
      <c r="G7" s="7">
        <v>1252</v>
      </c>
      <c r="H7" s="7">
        <v>983</v>
      </c>
      <c r="I7" s="7">
        <v>1232</v>
      </c>
      <c r="J7" s="7">
        <v>1288</v>
      </c>
      <c r="K7" s="7">
        <v>1097</v>
      </c>
      <c r="L7" s="7">
        <v>1040</v>
      </c>
      <c r="M7" s="7">
        <v>986</v>
      </c>
      <c r="N7" s="7">
        <v>944</v>
      </c>
      <c r="O7" s="7">
        <v>970</v>
      </c>
      <c r="P7" s="7">
        <v>892</v>
      </c>
      <c r="Q7" s="7">
        <v>862</v>
      </c>
      <c r="R7" s="7">
        <v>777</v>
      </c>
      <c r="S7" s="7">
        <v>1855</v>
      </c>
      <c r="T7" s="7">
        <v>1558</v>
      </c>
      <c r="U7" s="7">
        <v>6896</v>
      </c>
    </row>
    <row r="8" spans="1:21">
      <c r="A8" s="1" t="s">
        <v>24</v>
      </c>
      <c r="B8" s="7">
        <v>54297</v>
      </c>
      <c r="C8" s="7">
        <v>5983</v>
      </c>
      <c r="D8" s="7">
        <v>847</v>
      </c>
      <c r="E8" s="7">
        <v>3328</v>
      </c>
      <c r="F8" s="7">
        <v>3006</v>
      </c>
      <c r="G8" s="7">
        <v>3160</v>
      </c>
      <c r="H8" s="7">
        <v>3164</v>
      </c>
      <c r="I8" s="7">
        <v>3222</v>
      </c>
      <c r="J8" s="7">
        <v>2670</v>
      </c>
      <c r="K8" s="7">
        <v>2783</v>
      </c>
      <c r="L8" s="7">
        <v>2751</v>
      </c>
      <c r="M8" s="7">
        <v>2371</v>
      </c>
      <c r="N8" s="7">
        <v>2017</v>
      </c>
      <c r="O8" s="7">
        <v>2197</v>
      </c>
      <c r="P8" s="7">
        <v>1529</v>
      </c>
      <c r="Q8" s="7">
        <v>1544</v>
      </c>
      <c r="R8" s="7">
        <v>1533</v>
      </c>
      <c r="S8" s="7">
        <v>2953</v>
      </c>
      <c r="T8" s="7">
        <v>2097</v>
      </c>
      <c r="U8" s="7">
        <v>7142</v>
      </c>
    </row>
    <row r="9" spans="1:21">
      <c r="A9" s="1" t="s">
        <v>25</v>
      </c>
      <c r="B9" s="7">
        <v>59700</v>
      </c>
      <c r="C9" s="7">
        <v>12444</v>
      </c>
      <c r="D9" s="7">
        <v>1899</v>
      </c>
      <c r="E9" s="7">
        <v>4583</v>
      </c>
      <c r="F9" s="7">
        <v>3464</v>
      </c>
      <c r="G9" s="7">
        <v>3463</v>
      </c>
      <c r="H9" s="7">
        <v>2339</v>
      </c>
      <c r="I9" s="7">
        <v>2541</v>
      </c>
      <c r="J9" s="7">
        <v>2204</v>
      </c>
      <c r="K9" s="7">
        <v>2238</v>
      </c>
      <c r="L9" s="7">
        <v>1828</v>
      </c>
      <c r="M9" s="7">
        <v>1801</v>
      </c>
      <c r="N9" s="7">
        <v>1981</v>
      </c>
      <c r="O9" s="7">
        <v>1704</v>
      </c>
      <c r="P9" s="7">
        <v>1564</v>
      </c>
      <c r="Q9" s="7">
        <v>1340</v>
      </c>
      <c r="R9" s="7">
        <v>1328</v>
      </c>
      <c r="S9" s="7">
        <v>3190</v>
      </c>
      <c r="T9" s="7">
        <v>1994</v>
      </c>
      <c r="U9" s="7">
        <v>7794</v>
      </c>
    </row>
    <row r="10" spans="1:21">
      <c r="A10" s="1" t="s">
        <v>26</v>
      </c>
      <c r="B10" s="7">
        <v>43580</v>
      </c>
      <c r="C10" s="7">
        <v>4389</v>
      </c>
      <c r="D10" s="7">
        <v>656</v>
      </c>
      <c r="E10" s="7">
        <v>1664</v>
      </c>
      <c r="F10" s="7">
        <v>2411</v>
      </c>
      <c r="G10" s="7">
        <v>2562</v>
      </c>
      <c r="H10" s="7">
        <v>2496</v>
      </c>
      <c r="I10" s="7">
        <v>2626</v>
      </c>
      <c r="J10" s="7">
        <v>2543</v>
      </c>
      <c r="K10" s="7">
        <v>2438</v>
      </c>
      <c r="L10" s="7">
        <v>2536</v>
      </c>
      <c r="M10" s="7">
        <v>2039</v>
      </c>
      <c r="N10" s="7">
        <v>1736</v>
      </c>
      <c r="O10" s="7">
        <v>1666</v>
      </c>
      <c r="P10" s="7">
        <v>1661</v>
      </c>
      <c r="Q10" s="7">
        <v>1133</v>
      </c>
      <c r="R10" s="7">
        <v>1135</v>
      </c>
      <c r="S10" s="7">
        <v>2574</v>
      </c>
      <c r="T10" s="7">
        <v>1900</v>
      </c>
      <c r="U10" s="7">
        <v>5416</v>
      </c>
    </row>
    <row r="11" spans="1:21">
      <c r="A11" s="1" t="s">
        <v>27</v>
      </c>
      <c r="B11" s="7">
        <v>24612</v>
      </c>
      <c r="C11" s="7">
        <v>3846</v>
      </c>
      <c r="D11" s="7">
        <v>294</v>
      </c>
      <c r="E11" s="7">
        <v>364</v>
      </c>
      <c r="F11" s="7">
        <v>455</v>
      </c>
      <c r="G11" s="7">
        <v>349</v>
      </c>
      <c r="H11" s="7">
        <v>482</v>
      </c>
      <c r="I11" s="7">
        <v>552</v>
      </c>
      <c r="J11" s="7">
        <v>485</v>
      </c>
      <c r="K11" s="7">
        <v>630</v>
      </c>
      <c r="L11" s="7">
        <v>561</v>
      </c>
      <c r="M11" s="7">
        <v>503</v>
      </c>
      <c r="N11" s="7">
        <v>610</v>
      </c>
      <c r="O11" s="7">
        <v>530</v>
      </c>
      <c r="P11" s="7">
        <v>484</v>
      </c>
      <c r="Q11" s="7">
        <v>459</v>
      </c>
      <c r="R11" s="7">
        <v>470</v>
      </c>
      <c r="S11" s="7">
        <v>1248</v>
      </c>
      <c r="T11" s="7">
        <v>1096</v>
      </c>
      <c r="U11" s="7">
        <v>11195</v>
      </c>
    </row>
    <row r="12" spans="1:21">
      <c r="A12" s="1" t="s">
        <v>28</v>
      </c>
      <c r="B12" s="7">
        <v>58024</v>
      </c>
      <c r="C12" s="7">
        <v>4463</v>
      </c>
      <c r="D12" s="7">
        <v>893</v>
      </c>
      <c r="E12" s="7">
        <v>2065</v>
      </c>
      <c r="F12" s="7">
        <v>2776</v>
      </c>
      <c r="G12" s="7">
        <v>2860</v>
      </c>
      <c r="H12" s="7">
        <v>3067</v>
      </c>
      <c r="I12" s="7">
        <v>3326</v>
      </c>
      <c r="J12" s="7">
        <v>3360</v>
      </c>
      <c r="K12" s="7">
        <v>3451</v>
      </c>
      <c r="L12" s="7">
        <v>3261</v>
      </c>
      <c r="M12" s="7">
        <v>3095</v>
      </c>
      <c r="N12" s="7">
        <v>2821</v>
      </c>
      <c r="O12" s="7">
        <v>2581</v>
      </c>
      <c r="P12" s="7">
        <v>2164</v>
      </c>
      <c r="Q12" s="7">
        <v>2075</v>
      </c>
      <c r="R12" s="7">
        <v>2177</v>
      </c>
      <c r="S12" s="7">
        <v>4052</v>
      </c>
      <c r="T12" s="7">
        <v>2948</v>
      </c>
      <c r="U12" s="7">
        <v>6588</v>
      </c>
    </row>
    <row r="13" spans="1:21">
      <c r="A13" s="1" t="s">
        <v>29</v>
      </c>
      <c r="B13" s="7">
        <v>33609</v>
      </c>
      <c r="C13" s="7">
        <v>5990</v>
      </c>
      <c r="D13" s="7">
        <v>804</v>
      </c>
      <c r="E13" s="7">
        <v>1656</v>
      </c>
      <c r="F13" s="7">
        <v>1508</v>
      </c>
      <c r="G13" s="7">
        <v>1548</v>
      </c>
      <c r="H13" s="7">
        <v>1419</v>
      </c>
      <c r="I13" s="7">
        <v>1593</v>
      </c>
      <c r="J13" s="7">
        <v>1535</v>
      </c>
      <c r="K13" s="7">
        <v>1362</v>
      </c>
      <c r="L13" s="7">
        <v>1215</v>
      </c>
      <c r="M13" s="7">
        <v>1105</v>
      </c>
      <c r="N13" s="7">
        <v>1194</v>
      </c>
      <c r="O13" s="7">
        <v>1000</v>
      </c>
      <c r="P13" s="7">
        <v>915</v>
      </c>
      <c r="Q13" s="7">
        <v>917</v>
      </c>
      <c r="R13" s="7">
        <v>717</v>
      </c>
      <c r="S13" s="7">
        <v>1752</v>
      </c>
      <c r="T13" s="7">
        <v>1333</v>
      </c>
      <c r="U13" s="7">
        <v>6045</v>
      </c>
    </row>
    <row r="14" spans="1:21">
      <c r="A14" s="1" t="s">
        <v>30</v>
      </c>
      <c r="B14" s="7">
        <v>1547</v>
      </c>
      <c r="C14" s="7">
        <v>175</v>
      </c>
      <c r="D14" s="7">
        <v>21</v>
      </c>
      <c r="E14" s="7">
        <v>22</v>
      </c>
      <c r="F14" s="7">
        <v>32</v>
      </c>
      <c r="G14" s="7">
        <v>25</v>
      </c>
      <c r="H14" s="7">
        <v>47</v>
      </c>
      <c r="I14" s="7">
        <v>48</v>
      </c>
      <c r="J14" s="7">
        <v>45</v>
      </c>
      <c r="K14" s="7">
        <v>20</v>
      </c>
      <c r="L14" s="7">
        <v>49</v>
      </c>
      <c r="M14" s="7">
        <v>47</v>
      </c>
      <c r="N14" s="7">
        <v>53</v>
      </c>
      <c r="O14" s="7">
        <v>47</v>
      </c>
      <c r="P14" s="7">
        <v>49</v>
      </c>
      <c r="Q14" s="7">
        <v>47</v>
      </c>
      <c r="R14" s="7">
        <v>16</v>
      </c>
      <c r="S14" s="7">
        <v>102</v>
      </c>
      <c r="T14" s="7">
        <v>70</v>
      </c>
      <c r="U14" s="7">
        <v>632</v>
      </c>
    </row>
    <row r="15" spans="1:21">
      <c r="A15" s="1" t="s">
        <v>31</v>
      </c>
      <c r="B15" s="7">
        <v>42060</v>
      </c>
      <c r="C15" s="7">
        <v>6991</v>
      </c>
      <c r="D15" s="7">
        <v>1030</v>
      </c>
      <c r="E15" s="7">
        <v>2826</v>
      </c>
      <c r="F15" s="7">
        <v>2849</v>
      </c>
      <c r="G15" s="7">
        <v>2671</v>
      </c>
      <c r="H15" s="7">
        <v>2383</v>
      </c>
      <c r="I15" s="7">
        <v>2362</v>
      </c>
      <c r="J15" s="7">
        <v>2113</v>
      </c>
      <c r="K15" s="7">
        <v>1652</v>
      </c>
      <c r="L15" s="7">
        <v>1622</v>
      </c>
      <c r="M15" s="7">
        <v>1616</v>
      </c>
      <c r="N15" s="7">
        <v>1586</v>
      </c>
      <c r="O15" s="7">
        <v>1398</v>
      </c>
      <c r="P15" s="7">
        <v>1056</v>
      </c>
      <c r="Q15" s="7">
        <v>922</v>
      </c>
      <c r="R15" s="7">
        <v>954</v>
      </c>
      <c r="S15" s="7">
        <v>1764</v>
      </c>
      <c r="T15" s="7">
        <v>1316</v>
      </c>
      <c r="U15" s="7">
        <v>4946</v>
      </c>
    </row>
    <row r="16" spans="1:21">
      <c r="A16" s="1" t="s">
        <v>32</v>
      </c>
      <c r="B16" s="7">
        <v>75109</v>
      </c>
      <c r="C16" s="7">
        <v>8503</v>
      </c>
      <c r="D16" s="7">
        <v>1475</v>
      </c>
      <c r="E16" s="7">
        <v>3992</v>
      </c>
      <c r="F16" s="7">
        <v>4459</v>
      </c>
      <c r="G16" s="7">
        <v>4306</v>
      </c>
      <c r="H16" s="7">
        <v>4039</v>
      </c>
      <c r="I16" s="7">
        <v>4139</v>
      </c>
      <c r="J16" s="7">
        <v>3907</v>
      </c>
      <c r="K16" s="7">
        <v>3469</v>
      </c>
      <c r="L16" s="7">
        <v>4147</v>
      </c>
      <c r="M16" s="7">
        <v>3465</v>
      </c>
      <c r="N16" s="7">
        <v>3056</v>
      </c>
      <c r="O16" s="7">
        <v>2309</v>
      </c>
      <c r="P16" s="7">
        <v>2552</v>
      </c>
      <c r="Q16" s="7">
        <v>2486</v>
      </c>
      <c r="R16" s="7">
        <v>2129</v>
      </c>
      <c r="S16" s="7">
        <v>3935</v>
      </c>
      <c r="T16" s="7">
        <v>3114</v>
      </c>
      <c r="U16" s="7">
        <v>9630</v>
      </c>
    </row>
    <row r="17" spans="1:21">
      <c r="A17" s="1" t="s">
        <v>33</v>
      </c>
      <c r="B17" s="7">
        <v>27213</v>
      </c>
      <c r="C17" s="7">
        <v>4256</v>
      </c>
      <c r="D17" s="7">
        <v>550</v>
      </c>
      <c r="E17" s="7">
        <v>1642</v>
      </c>
      <c r="F17" s="7">
        <v>1309</v>
      </c>
      <c r="G17" s="7">
        <v>1743</v>
      </c>
      <c r="H17" s="7">
        <v>1635</v>
      </c>
      <c r="I17" s="7">
        <v>1737</v>
      </c>
      <c r="J17" s="7">
        <v>1591</v>
      </c>
      <c r="K17" s="7">
        <v>1403</v>
      </c>
      <c r="L17" s="7">
        <v>1223</v>
      </c>
      <c r="M17" s="7">
        <v>1073</v>
      </c>
      <c r="N17" s="7">
        <v>1011</v>
      </c>
      <c r="O17" s="7">
        <v>945</v>
      </c>
      <c r="P17" s="7">
        <v>812</v>
      </c>
      <c r="Q17" s="7">
        <v>688</v>
      </c>
      <c r="R17" s="7">
        <v>559</v>
      </c>
      <c r="S17" s="7">
        <v>1415</v>
      </c>
      <c r="T17" s="7">
        <v>1007</v>
      </c>
      <c r="U17" s="7">
        <v>2614</v>
      </c>
    </row>
    <row r="18" spans="1:21">
      <c r="A18" s="1" t="s">
        <v>34</v>
      </c>
      <c r="B18" s="7">
        <v>83879</v>
      </c>
      <c r="C18" s="7">
        <v>8069</v>
      </c>
      <c r="D18" s="7">
        <v>1399</v>
      </c>
      <c r="E18" s="7">
        <v>4460</v>
      </c>
      <c r="F18" s="7">
        <v>4042</v>
      </c>
      <c r="G18" s="7">
        <v>4654</v>
      </c>
      <c r="H18" s="7">
        <v>5268</v>
      </c>
      <c r="I18" s="7">
        <v>5273</v>
      </c>
      <c r="J18" s="7">
        <v>5349</v>
      </c>
      <c r="K18" s="7">
        <v>4861</v>
      </c>
      <c r="L18" s="7">
        <v>4703</v>
      </c>
      <c r="M18" s="7">
        <v>4323</v>
      </c>
      <c r="N18" s="7">
        <v>4121</v>
      </c>
      <c r="O18" s="7">
        <v>3514</v>
      </c>
      <c r="P18" s="7">
        <v>3240</v>
      </c>
      <c r="Q18" s="7">
        <v>2981</v>
      </c>
      <c r="R18" s="7">
        <v>2619</v>
      </c>
      <c r="S18" s="7">
        <v>5050</v>
      </c>
      <c r="T18" s="7">
        <v>3024</v>
      </c>
      <c r="U18" s="7">
        <v>6930</v>
      </c>
    </row>
    <row r="19" spans="1:21">
      <c r="A19" s="1" t="s">
        <v>35</v>
      </c>
      <c r="B19" s="7">
        <v>40832</v>
      </c>
      <c r="C19" s="7">
        <v>8433</v>
      </c>
      <c r="D19" s="7">
        <v>1355</v>
      </c>
      <c r="E19" s="7">
        <v>3127</v>
      </c>
      <c r="F19" s="7">
        <v>2379</v>
      </c>
      <c r="G19" s="7">
        <v>2041</v>
      </c>
      <c r="H19" s="7">
        <v>1935</v>
      </c>
      <c r="I19" s="7">
        <v>1759</v>
      </c>
      <c r="J19" s="7">
        <v>1514</v>
      </c>
      <c r="K19" s="7">
        <v>1475</v>
      </c>
      <c r="L19" s="7">
        <v>1305</v>
      </c>
      <c r="M19" s="7">
        <v>1345</v>
      </c>
      <c r="N19" s="7">
        <v>1405</v>
      </c>
      <c r="O19" s="7">
        <v>1112</v>
      </c>
      <c r="P19" s="7">
        <v>1185</v>
      </c>
      <c r="Q19" s="7">
        <v>948</v>
      </c>
      <c r="R19" s="7">
        <v>748</v>
      </c>
      <c r="S19" s="7">
        <v>1843</v>
      </c>
      <c r="T19" s="7">
        <v>1443</v>
      </c>
      <c r="U19" s="7">
        <v>5481</v>
      </c>
    </row>
    <row r="20" spans="1:21">
      <c r="A20" s="1" t="s">
        <v>36</v>
      </c>
      <c r="B20" s="7">
        <v>17069</v>
      </c>
      <c r="C20" s="7">
        <v>3552</v>
      </c>
      <c r="D20" s="7">
        <v>339</v>
      </c>
      <c r="E20" s="7">
        <v>683</v>
      </c>
      <c r="F20" s="7">
        <v>647</v>
      </c>
      <c r="G20" s="7">
        <v>741</v>
      </c>
      <c r="H20" s="7">
        <v>595</v>
      </c>
      <c r="I20" s="7">
        <v>510</v>
      </c>
      <c r="J20" s="7">
        <v>496</v>
      </c>
      <c r="K20" s="7">
        <v>460</v>
      </c>
      <c r="L20" s="7">
        <v>578</v>
      </c>
      <c r="M20" s="7">
        <v>439</v>
      </c>
      <c r="N20" s="7">
        <v>473</v>
      </c>
      <c r="O20" s="7">
        <v>417</v>
      </c>
      <c r="P20" s="7">
        <v>375</v>
      </c>
      <c r="Q20" s="7">
        <v>294</v>
      </c>
      <c r="R20" s="7">
        <v>244</v>
      </c>
      <c r="S20" s="7">
        <v>792</v>
      </c>
      <c r="T20" s="7">
        <v>656</v>
      </c>
      <c r="U20" s="7">
        <v>4779</v>
      </c>
    </row>
    <row r="21" spans="1:21">
      <c r="A21" s="1" t="s">
        <v>37</v>
      </c>
      <c r="B21" s="7">
        <v>18281</v>
      </c>
      <c r="C21" s="7">
        <v>2848</v>
      </c>
      <c r="D21" s="7">
        <v>397</v>
      </c>
      <c r="E21" s="7">
        <v>792</v>
      </c>
      <c r="F21" s="7">
        <v>838</v>
      </c>
      <c r="G21" s="7">
        <v>785</v>
      </c>
      <c r="H21" s="7">
        <v>726</v>
      </c>
      <c r="I21" s="7">
        <v>721</v>
      </c>
      <c r="J21" s="7">
        <v>568</v>
      </c>
      <c r="K21" s="7">
        <v>587</v>
      </c>
      <c r="L21" s="7">
        <v>732</v>
      </c>
      <c r="M21" s="7">
        <v>571</v>
      </c>
      <c r="N21" s="7">
        <v>541</v>
      </c>
      <c r="O21" s="7">
        <v>501</v>
      </c>
      <c r="P21" s="7">
        <v>404</v>
      </c>
      <c r="Q21" s="7">
        <v>401</v>
      </c>
      <c r="R21" s="7">
        <v>299</v>
      </c>
      <c r="S21" s="7">
        <v>845</v>
      </c>
      <c r="T21" s="7">
        <v>706</v>
      </c>
      <c r="U21" s="7">
        <v>5021</v>
      </c>
    </row>
    <row r="22" spans="1:21">
      <c r="A22" s="1" t="s">
        <v>38</v>
      </c>
      <c r="B22" s="7">
        <v>8053</v>
      </c>
      <c r="C22" s="7">
        <v>2194</v>
      </c>
      <c r="D22" s="7">
        <v>393</v>
      </c>
      <c r="E22" s="7">
        <v>813</v>
      </c>
      <c r="F22" s="7">
        <v>504</v>
      </c>
      <c r="G22" s="7">
        <v>392</v>
      </c>
      <c r="H22" s="7">
        <v>278</v>
      </c>
      <c r="I22" s="7">
        <v>341</v>
      </c>
      <c r="J22" s="7">
        <v>201</v>
      </c>
      <c r="K22" s="7">
        <v>235</v>
      </c>
      <c r="L22" s="7">
        <v>220</v>
      </c>
      <c r="M22" s="7">
        <v>213</v>
      </c>
      <c r="N22" s="7">
        <v>186</v>
      </c>
      <c r="O22" s="7">
        <v>165</v>
      </c>
      <c r="P22" s="7">
        <v>218</v>
      </c>
      <c r="Q22" s="7">
        <v>136</v>
      </c>
      <c r="R22" s="7">
        <v>154</v>
      </c>
      <c r="S22" s="7">
        <v>327</v>
      </c>
      <c r="T22" s="7">
        <v>216</v>
      </c>
      <c r="U22" s="7">
        <v>868</v>
      </c>
    </row>
    <row r="23" spans="1:21">
      <c r="A23" s="1" t="s">
        <v>39</v>
      </c>
      <c r="B23" s="7">
        <v>44799</v>
      </c>
      <c r="C23" s="7">
        <v>3702</v>
      </c>
      <c r="D23" s="7">
        <v>587</v>
      </c>
      <c r="E23" s="7">
        <v>1198</v>
      </c>
      <c r="F23" s="7">
        <v>1398</v>
      </c>
      <c r="G23" s="7">
        <v>1701</v>
      </c>
      <c r="H23" s="7">
        <v>1756</v>
      </c>
      <c r="I23" s="7">
        <v>2320</v>
      </c>
      <c r="J23" s="7">
        <v>2088</v>
      </c>
      <c r="K23" s="7">
        <v>2229</v>
      </c>
      <c r="L23" s="7">
        <v>1965</v>
      </c>
      <c r="M23" s="7">
        <v>2489</v>
      </c>
      <c r="N23" s="7">
        <v>2178</v>
      </c>
      <c r="O23" s="7">
        <v>2037</v>
      </c>
      <c r="P23" s="7">
        <v>2108</v>
      </c>
      <c r="Q23" s="7">
        <v>1593</v>
      </c>
      <c r="R23" s="7">
        <v>1683</v>
      </c>
      <c r="S23" s="7">
        <v>3387</v>
      </c>
      <c r="T23" s="7">
        <v>2464</v>
      </c>
      <c r="U23" s="7">
        <v>7916</v>
      </c>
    </row>
    <row r="24" spans="1:21">
      <c r="A24" s="1" t="s">
        <v>40</v>
      </c>
      <c r="B24" s="7">
        <v>56166</v>
      </c>
      <c r="C24" s="7">
        <v>3531</v>
      </c>
      <c r="D24" s="7">
        <v>877</v>
      </c>
      <c r="E24" s="7">
        <v>2397</v>
      </c>
      <c r="F24" s="7">
        <v>2418</v>
      </c>
      <c r="G24" s="7">
        <v>3095</v>
      </c>
      <c r="H24" s="7">
        <v>3060</v>
      </c>
      <c r="I24" s="7">
        <v>2974</v>
      </c>
      <c r="J24" s="7">
        <v>2988</v>
      </c>
      <c r="K24" s="7">
        <v>3256</v>
      </c>
      <c r="L24" s="7">
        <v>3290</v>
      </c>
      <c r="M24" s="7">
        <v>3140</v>
      </c>
      <c r="N24" s="7">
        <v>2916</v>
      </c>
      <c r="O24" s="7">
        <v>2598</v>
      </c>
      <c r="P24" s="7">
        <v>2487</v>
      </c>
      <c r="Q24" s="7">
        <v>2241</v>
      </c>
      <c r="R24" s="7">
        <v>1772</v>
      </c>
      <c r="S24" s="7">
        <v>4154</v>
      </c>
      <c r="T24" s="7">
        <v>2833</v>
      </c>
      <c r="U24" s="7">
        <v>6138</v>
      </c>
    </row>
    <row r="25" spans="1:21">
      <c r="A25" s="1" t="s">
        <v>41</v>
      </c>
      <c r="B25" s="7">
        <v>37053</v>
      </c>
      <c r="C25" s="7">
        <v>7776</v>
      </c>
      <c r="D25" s="7">
        <v>774</v>
      </c>
      <c r="E25" s="7">
        <v>2398</v>
      </c>
      <c r="F25" s="7">
        <v>1717</v>
      </c>
      <c r="G25" s="7">
        <v>1924</v>
      </c>
      <c r="H25" s="7">
        <v>1673</v>
      </c>
      <c r="I25" s="7">
        <v>1515</v>
      </c>
      <c r="J25" s="7">
        <v>1355</v>
      </c>
      <c r="K25" s="7">
        <v>1304</v>
      </c>
      <c r="L25" s="7">
        <v>1267</v>
      </c>
      <c r="M25" s="7">
        <v>1252</v>
      </c>
      <c r="N25" s="7">
        <v>1144</v>
      </c>
      <c r="O25" s="7">
        <v>946</v>
      </c>
      <c r="P25" s="7">
        <v>1156</v>
      </c>
      <c r="Q25" s="7">
        <v>906</v>
      </c>
      <c r="R25" s="7">
        <v>779</v>
      </c>
      <c r="S25" s="7">
        <v>2117</v>
      </c>
      <c r="T25" s="7">
        <v>1535</v>
      </c>
      <c r="U25" s="7">
        <v>5516</v>
      </c>
    </row>
    <row r="26" spans="1:21">
      <c r="A26" s="1" t="s">
        <v>42</v>
      </c>
      <c r="B26" s="7">
        <v>3976</v>
      </c>
      <c r="C26" s="7">
        <v>574</v>
      </c>
      <c r="D26" s="7">
        <v>27</v>
      </c>
      <c r="E26" s="7">
        <v>80</v>
      </c>
      <c r="F26" s="7">
        <v>75</v>
      </c>
      <c r="G26" s="7">
        <v>97</v>
      </c>
      <c r="H26" s="7">
        <v>59</v>
      </c>
      <c r="I26" s="7">
        <v>80</v>
      </c>
      <c r="J26" s="7">
        <v>90</v>
      </c>
      <c r="K26" s="7">
        <v>92</v>
      </c>
      <c r="L26" s="7">
        <v>87</v>
      </c>
      <c r="M26" s="7">
        <v>75</v>
      </c>
      <c r="N26" s="7">
        <v>74</v>
      </c>
      <c r="O26" s="7">
        <v>92</v>
      </c>
      <c r="P26" s="7">
        <v>79</v>
      </c>
      <c r="Q26" s="7">
        <v>54</v>
      </c>
      <c r="R26" s="7">
        <v>90</v>
      </c>
      <c r="S26" s="7">
        <v>195</v>
      </c>
      <c r="T26" s="7">
        <v>197</v>
      </c>
      <c r="U26" s="7">
        <v>1860</v>
      </c>
    </row>
    <row r="27" spans="1:21">
      <c r="A27" s="1" t="s">
        <v>43</v>
      </c>
      <c r="B27" s="7">
        <v>33049</v>
      </c>
      <c r="C27" s="7">
        <v>2716</v>
      </c>
      <c r="D27" s="7">
        <v>586</v>
      </c>
      <c r="E27" s="7">
        <v>1395</v>
      </c>
      <c r="F27" s="7">
        <v>1695</v>
      </c>
      <c r="G27" s="7">
        <v>2059</v>
      </c>
      <c r="H27" s="7">
        <v>1958</v>
      </c>
      <c r="I27" s="7">
        <v>2097</v>
      </c>
      <c r="J27" s="7">
        <v>1924</v>
      </c>
      <c r="K27" s="7">
        <v>1940</v>
      </c>
      <c r="L27" s="7">
        <v>1844</v>
      </c>
      <c r="M27" s="7">
        <v>1812</v>
      </c>
      <c r="N27" s="7">
        <v>1632</v>
      </c>
      <c r="O27" s="7">
        <v>1395</v>
      </c>
      <c r="P27" s="7">
        <v>1218</v>
      </c>
      <c r="Q27" s="7">
        <v>1339</v>
      </c>
      <c r="R27" s="7">
        <v>1168</v>
      </c>
      <c r="S27" s="7">
        <v>1861</v>
      </c>
      <c r="T27" s="7">
        <v>1537</v>
      </c>
      <c r="U27" s="7">
        <v>2876</v>
      </c>
    </row>
    <row r="28" spans="1:21">
      <c r="A28" s="1" t="s">
        <v>44</v>
      </c>
      <c r="B28" s="7">
        <v>79376</v>
      </c>
      <c r="C28" s="7">
        <v>5621</v>
      </c>
      <c r="D28" s="7">
        <v>1276</v>
      </c>
      <c r="E28" s="7">
        <v>3166</v>
      </c>
      <c r="F28" s="7">
        <v>3556</v>
      </c>
      <c r="G28" s="7">
        <v>3992</v>
      </c>
      <c r="H28" s="7">
        <v>4292</v>
      </c>
      <c r="I28" s="7">
        <v>4286</v>
      </c>
      <c r="J28" s="7">
        <v>4742</v>
      </c>
      <c r="K28" s="7">
        <v>4359</v>
      </c>
      <c r="L28" s="7">
        <v>4236</v>
      </c>
      <c r="M28" s="7">
        <v>4326</v>
      </c>
      <c r="N28" s="7">
        <v>3842</v>
      </c>
      <c r="O28" s="7">
        <v>3826</v>
      </c>
      <c r="P28" s="7">
        <v>3096</v>
      </c>
      <c r="Q28" s="7">
        <v>3019</v>
      </c>
      <c r="R28" s="7">
        <v>2887</v>
      </c>
      <c r="S28" s="7">
        <v>6031</v>
      </c>
      <c r="T28" s="7">
        <v>4007</v>
      </c>
      <c r="U28" s="7">
        <v>8815</v>
      </c>
    </row>
    <row r="29" spans="1:21">
      <c r="A29" s="1" t="s">
        <v>45</v>
      </c>
      <c r="B29" s="7">
        <v>38086</v>
      </c>
      <c r="C29" s="7">
        <v>5318</v>
      </c>
      <c r="D29" s="7">
        <v>496</v>
      </c>
      <c r="E29" s="7">
        <v>1444</v>
      </c>
      <c r="F29" s="7">
        <v>1629</v>
      </c>
      <c r="G29" s="7">
        <v>1464</v>
      </c>
      <c r="H29" s="7">
        <v>1415</v>
      </c>
      <c r="I29" s="7">
        <v>1769</v>
      </c>
      <c r="J29" s="7">
        <v>1578</v>
      </c>
      <c r="K29" s="7">
        <v>1776</v>
      </c>
      <c r="L29" s="7">
        <v>1539</v>
      </c>
      <c r="M29" s="7">
        <v>1465</v>
      </c>
      <c r="N29" s="7">
        <v>1337</v>
      </c>
      <c r="O29" s="7">
        <v>1274</v>
      </c>
      <c r="P29" s="7">
        <v>1045</v>
      </c>
      <c r="Q29" s="7">
        <v>1061</v>
      </c>
      <c r="R29" s="7">
        <v>1010</v>
      </c>
      <c r="S29" s="7">
        <v>2016</v>
      </c>
      <c r="T29" s="7">
        <v>1816</v>
      </c>
      <c r="U29" s="7">
        <v>8634</v>
      </c>
    </row>
    <row r="30" spans="1:21">
      <c r="A30" s="1" t="s">
        <v>46</v>
      </c>
      <c r="B30" s="7">
        <v>83681</v>
      </c>
      <c r="C30" s="7">
        <v>9631</v>
      </c>
      <c r="D30" s="7">
        <v>1389</v>
      </c>
      <c r="E30" s="7">
        <v>4007</v>
      </c>
      <c r="F30" s="7">
        <v>3907</v>
      </c>
      <c r="G30" s="7">
        <v>4611</v>
      </c>
      <c r="H30" s="7">
        <v>4470</v>
      </c>
      <c r="I30" s="7">
        <v>4524</v>
      </c>
      <c r="J30" s="7">
        <v>4450</v>
      </c>
      <c r="K30" s="7">
        <v>4569</v>
      </c>
      <c r="L30" s="7">
        <v>3810</v>
      </c>
      <c r="M30" s="7">
        <v>4037</v>
      </c>
      <c r="N30" s="7">
        <v>3904</v>
      </c>
      <c r="O30" s="7">
        <v>3382</v>
      </c>
      <c r="P30" s="7">
        <v>3047</v>
      </c>
      <c r="Q30" s="7">
        <v>2809</v>
      </c>
      <c r="R30" s="7">
        <v>2351</v>
      </c>
      <c r="S30" s="7">
        <v>5335</v>
      </c>
      <c r="T30" s="7">
        <v>3748</v>
      </c>
      <c r="U30" s="7">
        <v>9698</v>
      </c>
    </row>
    <row r="31" spans="1:21">
      <c r="A31" s="1" t="s">
        <v>47</v>
      </c>
      <c r="B31" s="7">
        <v>7938</v>
      </c>
      <c r="C31" s="7">
        <v>1210</v>
      </c>
      <c r="D31" s="7">
        <v>71</v>
      </c>
      <c r="E31" s="7">
        <v>84</v>
      </c>
      <c r="F31" s="7">
        <v>104</v>
      </c>
      <c r="G31" s="7">
        <v>132</v>
      </c>
      <c r="H31" s="7">
        <v>127</v>
      </c>
      <c r="I31" s="7">
        <v>191</v>
      </c>
      <c r="J31" s="7">
        <v>109</v>
      </c>
      <c r="K31" s="7">
        <v>155</v>
      </c>
      <c r="L31" s="7">
        <v>182</v>
      </c>
      <c r="M31" s="7">
        <v>125</v>
      </c>
      <c r="N31" s="7">
        <v>183</v>
      </c>
      <c r="O31" s="7">
        <v>129</v>
      </c>
      <c r="P31" s="7">
        <v>157</v>
      </c>
      <c r="Q31" s="7">
        <v>142</v>
      </c>
      <c r="R31" s="7">
        <v>99</v>
      </c>
      <c r="S31" s="7">
        <v>359</v>
      </c>
      <c r="T31" s="7">
        <v>400</v>
      </c>
      <c r="U31" s="7">
        <v>3977</v>
      </c>
    </row>
    <row r="32" spans="1:21">
      <c r="A32" s="1" t="s">
        <v>48</v>
      </c>
      <c r="B32" s="7">
        <v>46880</v>
      </c>
      <c r="C32" s="7">
        <v>10015</v>
      </c>
      <c r="D32" s="7">
        <v>1296</v>
      </c>
      <c r="E32" s="7">
        <v>2987</v>
      </c>
      <c r="F32" s="7">
        <v>2355</v>
      </c>
      <c r="G32" s="7">
        <v>2613</v>
      </c>
      <c r="H32" s="7">
        <v>2503</v>
      </c>
      <c r="I32" s="7">
        <v>2078</v>
      </c>
      <c r="J32" s="7">
        <v>2094</v>
      </c>
      <c r="K32" s="7">
        <v>1749</v>
      </c>
      <c r="L32" s="7">
        <v>1984</v>
      </c>
      <c r="M32" s="7">
        <v>1455</v>
      </c>
      <c r="N32" s="7">
        <v>1474</v>
      </c>
      <c r="O32" s="7">
        <v>1357</v>
      </c>
      <c r="P32" s="7">
        <v>1247</v>
      </c>
      <c r="Q32" s="7">
        <v>871</v>
      </c>
      <c r="R32" s="7">
        <v>893</v>
      </c>
      <c r="S32" s="7">
        <v>2264</v>
      </c>
      <c r="T32" s="7">
        <v>1548</v>
      </c>
      <c r="U32" s="7">
        <v>6095</v>
      </c>
    </row>
    <row r="33" spans="1:21">
      <c r="A33" s="1" t="s">
        <v>49</v>
      </c>
      <c r="B33" s="7">
        <v>78839</v>
      </c>
      <c r="C33" s="7">
        <v>7133</v>
      </c>
      <c r="D33" s="7">
        <v>1293</v>
      </c>
      <c r="E33" s="7">
        <v>3913</v>
      </c>
      <c r="F33" s="7">
        <v>4470</v>
      </c>
      <c r="G33" s="7">
        <v>5150</v>
      </c>
      <c r="H33" s="7">
        <v>5015</v>
      </c>
      <c r="I33" s="7">
        <v>5568</v>
      </c>
      <c r="J33" s="7">
        <v>5199</v>
      </c>
      <c r="K33" s="7">
        <v>5039</v>
      </c>
      <c r="L33" s="7">
        <v>4605</v>
      </c>
      <c r="M33" s="7">
        <v>4547</v>
      </c>
      <c r="N33" s="7">
        <v>3481</v>
      </c>
      <c r="O33" s="7">
        <v>3202</v>
      </c>
      <c r="P33" s="7">
        <v>2799</v>
      </c>
      <c r="Q33" s="7">
        <v>2918</v>
      </c>
      <c r="R33" s="7">
        <v>2183</v>
      </c>
      <c r="S33" s="7">
        <v>4574</v>
      </c>
      <c r="T33" s="7">
        <v>2687</v>
      </c>
      <c r="U33" s="7">
        <v>5064</v>
      </c>
    </row>
    <row r="34" spans="1:21">
      <c r="A34" s="1" t="s">
        <v>50</v>
      </c>
      <c r="B34" s="7">
        <v>75403</v>
      </c>
      <c r="C34" s="7">
        <v>8698</v>
      </c>
      <c r="D34" s="7">
        <v>1551</v>
      </c>
      <c r="E34" s="7">
        <v>4455</v>
      </c>
      <c r="F34" s="7">
        <v>4912</v>
      </c>
      <c r="G34" s="7">
        <v>4836</v>
      </c>
      <c r="H34" s="7">
        <v>4917</v>
      </c>
      <c r="I34" s="7">
        <v>5089</v>
      </c>
      <c r="J34" s="7">
        <v>4722</v>
      </c>
      <c r="K34" s="7">
        <v>4188</v>
      </c>
      <c r="L34" s="7">
        <v>3897</v>
      </c>
      <c r="M34" s="7">
        <v>3430</v>
      </c>
      <c r="N34" s="7">
        <v>3594</v>
      </c>
      <c r="O34" s="7">
        <v>2961</v>
      </c>
      <c r="P34" s="7">
        <v>2372</v>
      </c>
      <c r="Q34" s="7">
        <v>2265</v>
      </c>
      <c r="R34" s="7">
        <v>1919</v>
      </c>
      <c r="S34" s="7">
        <v>3720</v>
      </c>
      <c r="T34" s="7">
        <v>2363</v>
      </c>
      <c r="U34" s="7">
        <v>5515</v>
      </c>
    </row>
    <row r="35" spans="1:21">
      <c r="A35" s="8" t="s">
        <v>51</v>
      </c>
      <c r="B35" s="9">
        <v>12233</v>
      </c>
      <c r="C35" s="9">
        <v>1698</v>
      </c>
      <c r="D35" s="9">
        <v>139</v>
      </c>
      <c r="E35" s="9">
        <v>489</v>
      </c>
      <c r="F35" s="9">
        <v>576</v>
      </c>
      <c r="G35" s="9">
        <v>398</v>
      </c>
      <c r="H35" s="9">
        <v>436</v>
      </c>
      <c r="I35" s="9">
        <v>555</v>
      </c>
      <c r="J35" s="9">
        <v>563</v>
      </c>
      <c r="K35" s="9">
        <v>256</v>
      </c>
      <c r="L35" s="9">
        <v>510</v>
      </c>
      <c r="M35" s="9">
        <v>375</v>
      </c>
      <c r="N35" s="9">
        <v>415</v>
      </c>
      <c r="O35" s="9">
        <v>352</v>
      </c>
      <c r="P35" s="9">
        <v>267</v>
      </c>
      <c r="Q35" s="9">
        <v>106</v>
      </c>
      <c r="R35" s="9">
        <v>219</v>
      </c>
      <c r="S35" s="9">
        <v>625</v>
      </c>
      <c r="T35" s="9">
        <v>564</v>
      </c>
      <c r="U35" s="9">
        <v>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Distribution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Daryl Lim Jia Rong</cp:lastModifiedBy>
  <dcterms:modified xsi:type="dcterms:W3CDTF">2026-10-27T13:19:19Z</dcterms:modified>
</cp:coreProperties>
</file>